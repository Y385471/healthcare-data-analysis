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2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FABD96B-81EE-423E-BBBB-3260FC205FF7}" xr6:coauthVersionLast="37" xr6:coauthVersionMax="37" xr10:uidLastSave="{00000000-0000-0000-0000-000000000000}"/>
  <bookViews>
    <workbookView xWindow="0" yWindow="0" windowWidth="20400" windowHeight="7545" tabRatio="853" activeTab="2" xr2:uid="{00000000-000D-0000-FFFF-FFFF00000000}"/>
  </bookViews>
  <sheets>
    <sheet name="raw data" sheetId="1" r:id="rId1"/>
    <sheet name="Revenue and financial " sheetId="3" r:id="rId2"/>
    <sheet name="Dashboard" sheetId="9" r:id="rId3"/>
    <sheet name="Medical analysis " sheetId="4" r:id="rId4"/>
    <sheet name="codeand diagnosis" sheetId="2" r:id="rId5"/>
    <sheet name="performance " sheetId="5" r:id="rId6"/>
    <sheet name="patient analysis" sheetId="6" r:id="rId7"/>
    <sheet name="operation" sheetId="7" r:id="rId8"/>
    <sheet name="payment analysis" sheetId="8" r:id="rId9"/>
  </sheets>
  <definedNames>
    <definedName name="_xlcn.WorksheetConnection_Copyoffinal_data_mldc1.xlsxTable21" hidden="1">Table2[]</definedName>
    <definedName name="Slicer_Address">#N/A</definedName>
    <definedName name="Slicer_Consulted_By">#N/A</definedName>
    <definedName name="Slicer_Visit_Month">#N/A</definedName>
  </definedNames>
  <calcPr calcId="17902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Copy of final_data_mldc (1).xlsx!Table2"/>
        </x15:modelTables>
      </x15:dataModel>
    </ext>
  </extLst>
</workbook>
</file>

<file path=xl/calcChain.xml><?xml version="1.0" encoding="utf-8"?>
<calcChain xmlns="http://schemas.openxmlformats.org/spreadsheetml/2006/main">
  <c r="C5" i="9" l="1"/>
  <c r="K3" i="9"/>
  <c r="I3" i="9"/>
  <c r="G3" i="9"/>
  <c r="C3" i="9"/>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H3" i="1"/>
  <c r="H2"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F30C5E-DCDA-4B8A-A665-729FB5816E3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32AC52-CEB5-4CDE-9EF6-7E99F35A95F4}" name="WorksheetConnection_Copy of final_data_mldc (1).xlsx!Table2" type="102" refreshedVersion="6" minRefreshableVersion="5">
    <extLst>
      <ext xmlns:x15="http://schemas.microsoft.com/office/spreadsheetml/2010/11/main" uri="{DE250136-89BD-433C-8126-D09CA5730AF9}">
        <x15:connection id="Table2">
          <x15:rangePr sourceName="_xlcn.WorksheetConnection_Copyoffinal_data_mldc1.xlsxTable21"/>
        </x15:connection>
      </ext>
    </extLst>
  </connection>
</connections>
</file>

<file path=xl/sharedStrings.xml><?xml version="1.0" encoding="utf-8"?>
<sst xmlns="http://schemas.openxmlformats.org/spreadsheetml/2006/main" count="10712" uniqueCount="1420">
  <si>
    <t>Patient ID</t>
  </si>
  <si>
    <t>Patient Name</t>
  </si>
  <si>
    <t>Gender</t>
  </si>
  <si>
    <t>Age</t>
  </si>
  <si>
    <t>Visit Date</t>
  </si>
  <si>
    <t>Address</t>
  </si>
  <si>
    <t>Consulted By</t>
  </si>
  <si>
    <t>Treatment</t>
  </si>
  <si>
    <t>Dental Camp</t>
  </si>
  <si>
    <t>X-Ray Done</t>
  </si>
  <si>
    <t>Patient Type</t>
  </si>
  <si>
    <t>Treatment Type</t>
  </si>
  <si>
    <t>Treatment Cost</t>
  </si>
  <si>
    <t>X-Ray Cost</t>
  </si>
  <si>
    <t>OPD Cost</t>
  </si>
  <si>
    <t>Lab Charges</t>
  </si>
  <si>
    <t>Discount</t>
  </si>
  <si>
    <t>Total Paid</t>
  </si>
  <si>
    <t>Due</t>
  </si>
  <si>
    <t>Profit</t>
  </si>
  <si>
    <t>Payment Method</t>
  </si>
  <si>
    <t>Visit Month</t>
  </si>
  <si>
    <t>MLPT00001</t>
  </si>
  <si>
    <t>Ngozi Okoro</t>
  </si>
  <si>
    <t>Female</t>
  </si>
  <si>
    <t>Janakpuri</t>
  </si>
  <si>
    <t>Dr. Kajal</t>
  </si>
  <si>
    <t>Cleaning</t>
  </si>
  <si>
    <t>No</t>
  </si>
  <si>
    <t>First Visit</t>
  </si>
  <si>
    <t>Online Transfer</t>
  </si>
  <si>
    <t>2023-01</t>
  </si>
  <si>
    <t>MLPT00002</t>
  </si>
  <si>
    <t>Chinedu Eze</t>
  </si>
  <si>
    <t>Male</t>
  </si>
  <si>
    <t>Vikas Puri</t>
  </si>
  <si>
    <t>Dr. Karan</t>
  </si>
  <si>
    <t>OPD + X-Ray</t>
  </si>
  <si>
    <t>Yes</t>
  </si>
  <si>
    <t>MLPT00003</t>
  </si>
  <si>
    <t>Fatima Bello</t>
  </si>
  <si>
    <t>Filling</t>
  </si>
  <si>
    <t>Cash</t>
  </si>
  <si>
    <t>MLPT00004</t>
  </si>
  <si>
    <t>Emeka Nwafor</t>
  </si>
  <si>
    <t>OPD</t>
  </si>
  <si>
    <t>Referral</t>
  </si>
  <si>
    <t>Card</t>
  </si>
  <si>
    <t>MLPT00005</t>
  </si>
  <si>
    <t>Adewale Adeyemi</t>
  </si>
  <si>
    <t>Tilak Nagar</t>
  </si>
  <si>
    <t>UPI</t>
  </si>
  <si>
    <t>MLPT00006</t>
  </si>
  <si>
    <t>Jagdish Prasad</t>
  </si>
  <si>
    <t>Paschim Vihar</t>
  </si>
  <si>
    <t>Bleaching</t>
  </si>
  <si>
    <t>MLPT00007</t>
  </si>
  <si>
    <t>Aisha Khan</t>
  </si>
  <si>
    <t>MLPT00008</t>
  </si>
  <si>
    <t>Raghav Singh</t>
  </si>
  <si>
    <t>Hari Nagar</t>
  </si>
  <si>
    <t>Walk-in</t>
  </si>
  <si>
    <t>MLPT00009</t>
  </si>
  <si>
    <t>Naina Gupta</t>
  </si>
  <si>
    <t>MLPT00010</t>
  </si>
  <si>
    <t>Poonam Devi</t>
  </si>
  <si>
    <t>MLPT00011</t>
  </si>
  <si>
    <t>Kajal Singh</t>
  </si>
  <si>
    <t>Extraction</t>
  </si>
  <si>
    <t>MLPT00012</t>
  </si>
  <si>
    <t>Gia Patel</t>
  </si>
  <si>
    <t>MLPT00013</t>
  </si>
  <si>
    <t>MLPT00014</t>
  </si>
  <si>
    <t>Manoj Kumar</t>
  </si>
  <si>
    <t>MLPT00015</t>
  </si>
  <si>
    <t>Misha Sharma</t>
  </si>
  <si>
    <t>MLPT00016</t>
  </si>
  <si>
    <t>Ishaan Chauhan</t>
  </si>
  <si>
    <t>Implants</t>
  </si>
  <si>
    <t>MLPT00017</t>
  </si>
  <si>
    <t>Aarav Sharma</t>
  </si>
  <si>
    <t>MLPT00018</t>
  </si>
  <si>
    <t>Diya Sharma</t>
  </si>
  <si>
    <t>MLPT00019</t>
  </si>
  <si>
    <t>Rishi Yadav</t>
  </si>
  <si>
    <t>MLPT00020</t>
  </si>
  <si>
    <t>Uday Singh</t>
  </si>
  <si>
    <t>13-01-2023</t>
  </si>
  <si>
    <t>Chander Vihar</t>
  </si>
  <si>
    <t>Braces</t>
  </si>
  <si>
    <t>MLPT00021</t>
  </si>
  <si>
    <t>Ronit Sharma</t>
  </si>
  <si>
    <t>Punjabi Bagh</t>
  </si>
  <si>
    <t>MLPT00022</t>
  </si>
  <si>
    <t>Suhani Yadav</t>
  </si>
  <si>
    <t>14-01-2023</t>
  </si>
  <si>
    <t>MLPT00023</t>
  </si>
  <si>
    <t>MLPT00024</t>
  </si>
  <si>
    <t>Anaya Gupta</t>
  </si>
  <si>
    <t>MLPT00025</t>
  </si>
  <si>
    <t>Kabir Singh</t>
  </si>
  <si>
    <t>15-01-2023</t>
  </si>
  <si>
    <t>MLPT00026</t>
  </si>
  <si>
    <t>Arnav Gupta</t>
  </si>
  <si>
    <t>Uttam Nagar</t>
  </si>
  <si>
    <t>MLPT00027</t>
  </si>
  <si>
    <t>Vanya Gupta</t>
  </si>
  <si>
    <t>16-01-2023</t>
  </si>
  <si>
    <t>MLPT00028</t>
  </si>
  <si>
    <t>Pranav Kumar</t>
  </si>
  <si>
    <t>17-01-2023</t>
  </si>
  <si>
    <t>RCT</t>
  </si>
  <si>
    <t>MLPT00029</t>
  </si>
  <si>
    <t>Uma Sharma</t>
  </si>
  <si>
    <t>MLPT00030</t>
  </si>
  <si>
    <t>Riya Kumar</t>
  </si>
  <si>
    <t>18-01-2023</t>
  </si>
  <si>
    <t>MLPT00031</t>
  </si>
  <si>
    <t>Siya Verma</t>
  </si>
  <si>
    <t>19-01-2023</t>
  </si>
  <si>
    <t>MLPT00032</t>
  </si>
  <si>
    <t>Vivaan Sharma</t>
  </si>
  <si>
    <t>MLPT00033</t>
  </si>
  <si>
    <t>20-01-2023</t>
  </si>
  <si>
    <t>MLPT00034</t>
  </si>
  <si>
    <t>Hitesh Gupta</t>
  </si>
  <si>
    <t>21-01-2023</t>
  </si>
  <si>
    <t>MLPT00035</t>
  </si>
  <si>
    <t>Jia Verma</t>
  </si>
  <si>
    <t>23-01-2023</t>
  </si>
  <si>
    <t>MLPT00036</t>
  </si>
  <si>
    <t>Harsh Malik</t>
  </si>
  <si>
    <t>Rajouri Garden</t>
  </si>
  <si>
    <t>MLPT00037</t>
  </si>
  <si>
    <t>25-01-2023</t>
  </si>
  <si>
    <t>MLPT00038</t>
  </si>
  <si>
    <t>MLPT00039</t>
  </si>
  <si>
    <t>Saisha Singh</t>
  </si>
  <si>
    <t>26-01-2023</t>
  </si>
  <si>
    <t>MLPT00040</t>
  </si>
  <si>
    <t>MLPT00041</t>
  </si>
  <si>
    <t>Zeeshan Khan</t>
  </si>
  <si>
    <t>27-01-2023</t>
  </si>
  <si>
    <t>MLPT00042</t>
  </si>
  <si>
    <t>Vandana Gupta</t>
  </si>
  <si>
    <t>Crown</t>
  </si>
  <si>
    <t>MLPT00043</t>
  </si>
  <si>
    <t>MLPT00044</t>
  </si>
  <si>
    <t>Avani Yadav</t>
  </si>
  <si>
    <t>28-01-2023</t>
  </si>
  <si>
    <t>MLPT00045</t>
  </si>
  <si>
    <t>Lata Sharma</t>
  </si>
  <si>
    <t>MLPT00046</t>
  </si>
  <si>
    <t>30-01-2023</t>
  </si>
  <si>
    <t>MLPT00047</t>
  </si>
  <si>
    <t>MLPT00048</t>
  </si>
  <si>
    <t>Bhavya Jain</t>
  </si>
  <si>
    <t>31-01-2023</t>
  </si>
  <si>
    <t>MLPT00049</t>
  </si>
  <si>
    <t>Urvi Sharma</t>
  </si>
  <si>
    <t>MLPT00050</t>
  </si>
  <si>
    <t>Kiara Jain</t>
  </si>
  <si>
    <t>2023-02</t>
  </si>
  <si>
    <t>MLPT00051</t>
  </si>
  <si>
    <t>MLPT00052</t>
  </si>
  <si>
    <t>MLPT00053</t>
  </si>
  <si>
    <t>MLPT00054</t>
  </si>
  <si>
    <t>Nikita Sharma</t>
  </si>
  <si>
    <t>Fateh Nagar</t>
  </si>
  <si>
    <t>MLPT00055</t>
  </si>
  <si>
    <t>MLPT00056</t>
  </si>
  <si>
    <t>Shalini Jain</t>
  </si>
  <si>
    <t>MLPT00057</t>
  </si>
  <si>
    <t>Aditi Sharma</t>
  </si>
  <si>
    <t>MLPT00058</t>
  </si>
  <si>
    <t>MLPT00059</t>
  </si>
  <si>
    <t>MLPT00060</t>
  </si>
  <si>
    <t>Akshat Kumar</t>
  </si>
  <si>
    <t>MLPT00061</t>
  </si>
  <si>
    <t>MLPT00062</t>
  </si>
  <si>
    <t>Megha Gupta</t>
  </si>
  <si>
    <t>MLPT00063</t>
  </si>
  <si>
    <t>Aradhya Verma</t>
  </si>
  <si>
    <t>MLPT00064</t>
  </si>
  <si>
    <t>Kishan Lal</t>
  </si>
  <si>
    <t>MLPT00065</t>
  </si>
  <si>
    <t>Sahil Gupta</t>
  </si>
  <si>
    <t>MLPT00066</t>
  </si>
  <si>
    <t>Ayush Verma</t>
  </si>
  <si>
    <t>13-02-2023</t>
  </si>
  <si>
    <t>MLPT00067</t>
  </si>
  <si>
    <t>15-02-2023</t>
  </si>
  <si>
    <t>MLPT00068</t>
  </si>
  <si>
    <t>MLPT00069</t>
  </si>
  <si>
    <t>Manav Jain</t>
  </si>
  <si>
    <t>16-02-2023</t>
  </si>
  <si>
    <t>MLPT00070</t>
  </si>
  <si>
    <t>Anika Patel</t>
  </si>
  <si>
    <t>MLPT00071</t>
  </si>
  <si>
    <t>17-02-2023</t>
  </si>
  <si>
    <t>MLPT00072</t>
  </si>
  <si>
    <t>Bharat Singh</t>
  </si>
  <si>
    <t>MLPT00073</t>
  </si>
  <si>
    <t>MLPT00074</t>
  </si>
  <si>
    <t>Dinesh Verma</t>
  </si>
  <si>
    <t>18-02-2023</t>
  </si>
  <si>
    <t>MLPT00075</t>
  </si>
  <si>
    <t>Omkar Singh</t>
  </si>
  <si>
    <t>20-02-2023</t>
  </si>
  <si>
    <t>MLPT00076</t>
  </si>
  <si>
    <t>MLPT00077</t>
  </si>
  <si>
    <t>Tanay Kumar</t>
  </si>
  <si>
    <t>21-02-2023</t>
  </si>
  <si>
    <t>MLPT00078</t>
  </si>
  <si>
    <t>22-02-2023</t>
  </si>
  <si>
    <t>MLPT00079</t>
  </si>
  <si>
    <t>MLPT00080</t>
  </si>
  <si>
    <t>23-02-2023</t>
  </si>
  <si>
    <t>MLPT00081</t>
  </si>
  <si>
    <t>MLPT00082</t>
  </si>
  <si>
    <t>24-02-2023</t>
  </si>
  <si>
    <t>MLPT00083</t>
  </si>
  <si>
    <t>Ritu Singh</t>
  </si>
  <si>
    <t>MLPT00084</t>
  </si>
  <si>
    <t>Gagan Bansal</t>
  </si>
  <si>
    <t>25-02-2023</t>
  </si>
  <si>
    <t>MLPT00085</t>
  </si>
  <si>
    <t>27-02-2023</t>
  </si>
  <si>
    <t>MLPT00086</t>
  </si>
  <si>
    <t>28-02-2023</t>
  </si>
  <si>
    <t>MLPT00087</t>
  </si>
  <si>
    <t>MLPT00088</t>
  </si>
  <si>
    <t>Eesha Gupta</t>
  </si>
  <si>
    <t>2023-03</t>
  </si>
  <si>
    <t>MLPT00089</t>
  </si>
  <si>
    <t>MLPT00090</t>
  </si>
  <si>
    <t>MLPT00091</t>
  </si>
  <si>
    <t>Narendra Pal</t>
  </si>
  <si>
    <t>MLPT00092</t>
  </si>
  <si>
    <t>MLPT00093</t>
  </si>
  <si>
    <t>MLPT00094</t>
  </si>
  <si>
    <t>MLPT00095</t>
  </si>
  <si>
    <t>MLPT00096</t>
  </si>
  <si>
    <t>Charu Devi</t>
  </si>
  <si>
    <t>MLPT00097</t>
  </si>
  <si>
    <t>Kirti Nagar</t>
  </si>
  <si>
    <t>MLPT00098</t>
  </si>
  <si>
    <t>13-03-2023</t>
  </si>
  <si>
    <t>MLPT00099</t>
  </si>
  <si>
    <t>MLPT00100</t>
  </si>
  <si>
    <t>14-03-2023</t>
  </si>
  <si>
    <t>MLPT00101</t>
  </si>
  <si>
    <t>MLPT00102</t>
  </si>
  <si>
    <t>MLPT00103</t>
  </si>
  <si>
    <t>15-03-2023</t>
  </si>
  <si>
    <t>MLPT00104</t>
  </si>
  <si>
    <t>16-03-2023</t>
  </si>
  <si>
    <t>MLPT00105</t>
  </si>
  <si>
    <t>21-03-2023</t>
  </si>
  <si>
    <t>Shivaji Enclave</t>
  </si>
  <si>
    <t>MLPT00106</t>
  </si>
  <si>
    <t>MLPT00107</t>
  </si>
  <si>
    <t>Chetan Sharma</t>
  </si>
  <si>
    <t>MLPT00108</t>
  </si>
  <si>
    <t>22-03-2023</t>
  </si>
  <si>
    <t>MLPT00109</t>
  </si>
  <si>
    <t>Subhash Nagar</t>
  </si>
  <si>
    <t>MLPT00110</t>
  </si>
  <si>
    <t>Parth Patel</t>
  </si>
  <si>
    <t>23-03-2023</t>
  </si>
  <si>
    <t>MLPT00111</t>
  </si>
  <si>
    <t>Akshara Singh</t>
  </si>
  <si>
    <t>25-03-2023</t>
  </si>
  <si>
    <t>MLPT00112</t>
  </si>
  <si>
    <t>MLPT00113</t>
  </si>
  <si>
    <t>Lakshay Sharma</t>
  </si>
  <si>
    <t>27-03-2023</t>
  </si>
  <si>
    <t>MLPT00114</t>
  </si>
  <si>
    <t>MLPT00115</t>
  </si>
  <si>
    <t>Reyansh Verma</t>
  </si>
  <si>
    <t>MLPT00116</t>
  </si>
  <si>
    <t>29-03-2023</t>
  </si>
  <si>
    <t>MLPT00117</t>
  </si>
  <si>
    <t>MLPT00118</t>
  </si>
  <si>
    <t>Yash Jain</t>
  </si>
  <si>
    <t>30-03-2023</t>
  </si>
  <si>
    <t>MLPT00119</t>
  </si>
  <si>
    <t>MLPT00120</t>
  </si>
  <si>
    <t>31-03-2023</t>
  </si>
  <si>
    <t>MLPT00121</t>
  </si>
  <si>
    <t>Om Prakash</t>
  </si>
  <si>
    <t>MLPT00122</t>
  </si>
  <si>
    <t>2023-04</t>
  </si>
  <si>
    <t>MLPT00123</t>
  </si>
  <si>
    <t>Girish Yadav</t>
  </si>
  <si>
    <t>MLPT00124</t>
  </si>
  <si>
    <t>Heena Kumari</t>
  </si>
  <si>
    <t>MLPT00125</t>
  </si>
  <si>
    <t>MLPT00126</t>
  </si>
  <si>
    <t>MLPT00127</t>
  </si>
  <si>
    <t>MLPT00128</t>
  </si>
  <si>
    <t>MLPT00129</t>
  </si>
  <si>
    <t>MLPT00130</t>
  </si>
  <si>
    <t>MLPT00131</t>
  </si>
  <si>
    <t>Sandeep Gupta</t>
  </si>
  <si>
    <t>MLPT00132</t>
  </si>
  <si>
    <t>Kaira Yadav</t>
  </si>
  <si>
    <t>MLPT00133</t>
  </si>
  <si>
    <t>MLPT00134</t>
  </si>
  <si>
    <t>MLPT00135</t>
  </si>
  <si>
    <t>MLPT00136</t>
  </si>
  <si>
    <t>MLPT00137</t>
  </si>
  <si>
    <t>MLPT00138</t>
  </si>
  <si>
    <t>MLPT00139</t>
  </si>
  <si>
    <t>Sakshi Yadav</t>
  </si>
  <si>
    <t>13-04-2023</t>
  </si>
  <si>
    <t>MLPT00140</t>
  </si>
  <si>
    <t>MLPT00141</t>
  </si>
  <si>
    <t>14-04-2023</t>
  </si>
  <si>
    <t>MLPT00142</t>
  </si>
  <si>
    <t>MLPT00143</t>
  </si>
  <si>
    <t>15-04-2023</t>
  </si>
  <si>
    <t>MLPT00144</t>
  </si>
  <si>
    <t>17-04-2023</t>
  </si>
  <si>
    <t>MLPT00145</t>
  </si>
  <si>
    <t>MLPT00146</t>
  </si>
  <si>
    <t>MLPT00147</t>
  </si>
  <si>
    <t>19-04-2023</t>
  </si>
  <si>
    <t>MLPT00148</t>
  </si>
  <si>
    <t>20-04-2023</t>
  </si>
  <si>
    <t>MLPT00149</t>
  </si>
  <si>
    <t>MLPT00150</t>
  </si>
  <si>
    <t>MLPT00151</t>
  </si>
  <si>
    <t>22-04-2023</t>
  </si>
  <si>
    <t>MLPT00152</t>
  </si>
  <si>
    <t>MLPT00153</t>
  </si>
  <si>
    <t>23-04-2023</t>
  </si>
  <si>
    <t>MLPT00154</t>
  </si>
  <si>
    <t>24-04-2023</t>
  </si>
  <si>
    <t>MLPT00155</t>
  </si>
  <si>
    <t>Pawan Kumar</t>
  </si>
  <si>
    <t>MLPT00156</t>
  </si>
  <si>
    <t>Dhruv Jain</t>
  </si>
  <si>
    <t>MLPT00157</t>
  </si>
  <si>
    <t>25-04-2023</t>
  </si>
  <si>
    <t>MLPT00158</t>
  </si>
  <si>
    <t>MLPT00159</t>
  </si>
  <si>
    <t>26-04-2023</t>
  </si>
  <si>
    <t>MLPT00160</t>
  </si>
  <si>
    <t>27-04-2023</t>
  </si>
  <si>
    <t>MLPT00161</t>
  </si>
  <si>
    <t>28-04-2023</t>
  </si>
  <si>
    <t>MLPT00162</t>
  </si>
  <si>
    <t>29-04-2023</t>
  </si>
  <si>
    <t>MLPT00163</t>
  </si>
  <si>
    <t>MLPT00164</t>
  </si>
  <si>
    <t>2023-05</t>
  </si>
  <si>
    <t>MLPT00165</t>
  </si>
  <si>
    <t>MLPT00166</t>
  </si>
  <si>
    <t>Dwarka</t>
  </si>
  <si>
    <t>MLPT00167</t>
  </si>
  <si>
    <t>Advait Singh</t>
  </si>
  <si>
    <t>MLPT00168</t>
  </si>
  <si>
    <t>Jatin Kumar</t>
  </si>
  <si>
    <t>MLPT00169</t>
  </si>
  <si>
    <t>Ishita Singh</t>
  </si>
  <si>
    <t>MLPT00170</t>
  </si>
  <si>
    <t>MLPT00171</t>
  </si>
  <si>
    <t>MLPT00172</t>
  </si>
  <si>
    <t>Tanu Verma</t>
  </si>
  <si>
    <t>MLPT00173</t>
  </si>
  <si>
    <t>MLPT00174</t>
  </si>
  <si>
    <t>MLPT00175</t>
  </si>
  <si>
    <t>MLPT00176</t>
  </si>
  <si>
    <t>Naman Gupta</t>
  </si>
  <si>
    <t>MLPT00177</t>
  </si>
  <si>
    <t>MLPT00178</t>
  </si>
  <si>
    <t>MLPT00179</t>
  </si>
  <si>
    <t>MLPT00180</t>
  </si>
  <si>
    <t>MLPT00181</t>
  </si>
  <si>
    <t>MLPT00182</t>
  </si>
  <si>
    <t>MLPT00183</t>
  </si>
  <si>
    <t>13-05-2023</t>
  </si>
  <si>
    <t>MLPT00184</t>
  </si>
  <si>
    <t>MLPT00185</t>
  </si>
  <si>
    <t>16-05-2023</t>
  </si>
  <si>
    <t>MLPT00186</t>
  </si>
  <si>
    <t>MLPT00187</t>
  </si>
  <si>
    <t>18-05-2023</t>
  </si>
  <si>
    <t>MLPT00188</t>
  </si>
  <si>
    <t>MLPT00189</t>
  </si>
  <si>
    <t>19-05-2023</t>
  </si>
  <si>
    <t>MLPT00190</t>
  </si>
  <si>
    <t>20-05-2023</t>
  </si>
  <si>
    <t>MLPT00191</t>
  </si>
  <si>
    <t>22-05-2023</t>
  </si>
  <si>
    <t>MLPT00192</t>
  </si>
  <si>
    <t>MLPT00193</t>
  </si>
  <si>
    <t>Rakesh Sharma</t>
  </si>
  <si>
    <t>23-05-2023</t>
  </si>
  <si>
    <t>MLPT00194</t>
  </si>
  <si>
    <t>MLPT00195</t>
  </si>
  <si>
    <t>24-05-2023</t>
  </si>
  <si>
    <t>MLPT00196</t>
  </si>
  <si>
    <t>25-05-2023</t>
  </si>
  <si>
    <t>MLPT00197</t>
  </si>
  <si>
    <t>MLPT00198</t>
  </si>
  <si>
    <t>MLPT00199</t>
  </si>
  <si>
    <t>26-05-2023</t>
  </si>
  <si>
    <t>MLPT00200</t>
  </si>
  <si>
    <t>29-05-2023</t>
  </si>
  <si>
    <t>MLPT00201</t>
  </si>
  <si>
    <t>30-05-2023</t>
  </si>
  <si>
    <t>MLPT00202</t>
  </si>
  <si>
    <t>Hansika Kumar</t>
  </si>
  <si>
    <t>31-05-2023</t>
  </si>
  <si>
    <t>MLPT00203</t>
  </si>
  <si>
    <t>MLPT00204</t>
  </si>
  <si>
    <t>2023-06</t>
  </si>
  <si>
    <t>MLPT00205</t>
  </si>
  <si>
    <t>Ankit Kumar</t>
  </si>
  <si>
    <t>MLPT00206</t>
  </si>
  <si>
    <t>MLPT00207</t>
  </si>
  <si>
    <t>MLPT00208</t>
  </si>
  <si>
    <t>MLPT00209</t>
  </si>
  <si>
    <t>MLPT00210</t>
  </si>
  <si>
    <t>MLPT00211</t>
  </si>
  <si>
    <t>MLPT00212</t>
  </si>
  <si>
    <t>Deepa Sharma</t>
  </si>
  <si>
    <t>MLPT00213</t>
  </si>
  <si>
    <t>MLPT00214</t>
  </si>
  <si>
    <t>Aryan Patel</t>
  </si>
  <si>
    <t>MLPT00215</t>
  </si>
  <si>
    <t>MLPT00216</t>
  </si>
  <si>
    <t>MLPT00217</t>
  </si>
  <si>
    <t>MLPT00218</t>
  </si>
  <si>
    <t>MLPT00219</t>
  </si>
  <si>
    <t>13-06-2023</t>
  </si>
  <si>
    <t>MLPT00220</t>
  </si>
  <si>
    <t>14-06-2023</t>
  </si>
  <si>
    <t>MLPT00221</t>
  </si>
  <si>
    <t>15-06-2023</t>
  </si>
  <si>
    <t>MLPT00222</t>
  </si>
  <si>
    <t>MLPT00223</t>
  </si>
  <si>
    <t>MLPT00224</t>
  </si>
  <si>
    <t>17-06-2023</t>
  </si>
  <si>
    <t>MLPT00225</t>
  </si>
  <si>
    <t>Pihu Patel</t>
  </si>
  <si>
    <t>19-06-2023</t>
  </si>
  <si>
    <t>MLPT00226</t>
  </si>
  <si>
    <t>MLPT00227</t>
  </si>
  <si>
    <t>Tanisha Jain</t>
  </si>
  <si>
    <t>20-06-2023</t>
  </si>
  <si>
    <t>MLPT00228</t>
  </si>
  <si>
    <t>MLPT00229</t>
  </si>
  <si>
    <t>22-06-2023</t>
  </si>
  <si>
    <t>MLPT00230</t>
  </si>
  <si>
    <t>MLPT00231</t>
  </si>
  <si>
    <t>MLPT00232</t>
  </si>
  <si>
    <t>23-06-2023</t>
  </si>
  <si>
    <t>MLPT00233</t>
  </si>
  <si>
    <t>24-06-2023</t>
  </si>
  <si>
    <t>MLPT00234</t>
  </si>
  <si>
    <t>MLPT00235</t>
  </si>
  <si>
    <t>26-06-2023</t>
  </si>
  <si>
    <t>MLPT00236</t>
  </si>
  <si>
    <t>27-06-2023</t>
  </si>
  <si>
    <t>MLPT00237</t>
  </si>
  <si>
    <t>28-06-2023</t>
  </si>
  <si>
    <t>MLPT00238</t>
  </si>
  <si>
    <t>MLPT00239</t>
  </si>
  <si>
    <t>30-06-2023</t>
  </si>
  <si>
    <t>MLPT00240</t>
  </si>
  <si>
    <t>2023-07</t>
  </si>
  <si>
    <t>MLPT00241</t>
  </si>
  <si>
    <t>MLPT00242</t>
  </si>
  <si>
    <t>MLPT00243</t>
  </si>
  <si>
    <t>MLPT00244</t>
  </si>
  <si>
    <t>MLPT00245</t>
  </si>
  <si>
    <t>MLPT00246</t>
  </si>
  <si>
    <t>MLPT00247</t>
  </si>
  <si>
    <t>MLPT00248</t>
  </si>
  <si>
    <t>MLPT00249</t>
  </si>
  <si>
    <t>MLPT00250</t>
  </si>
  <si>
    <t>MLPT00251</t>
  </si>
  <si>
    <t>MLPT00252</t>
  </si>
  <si>
    <t>MLPT00253</t>
  </si>
  <si>
    <t>13-07-2023</t>
  </si>
  <si>
    <t>MLPT00254</t>
  </si>
  <si>
    <t>14-07-2023</t>
  </si>
  <si>
    <t>MLPT00255</t>
  </si>
  <si>
    <t>18-07-2023</t>
  </si>
  <si>
    <t>MLPT00256</t>
  </si>
  <si>
    <t>MLPT00257</t>
  </si>
  <si>
    <t>19-07-2023</t>
  </si>
  <si>
    <t>MLPT00258</t>
  </si>
  <si>
    <t>20-07-2023</t>
  </si>
  <si>
    <t>MLPT00259</t>
  </si>
  <si>
    <t>MLPT00260</t>
  </si>
  <si>
    <t>21-07-2023</t>
  </si>
  <si>
    <t>MLPT00261</t>
  </si>
  <si>
    <t>MLPT00262</t>
  </si>
  <si>
    <t>22-07-2023</t>
  </si>
  <si>
    <t>MLPT00263</t>
  </si>
  <si>
    <t>MLPT00264</t>
  </si>
  <si>
    <t>24-07-2023</t>
  </si>
  <si>
    <t>MLPT00265</t>
  </si>
  <si>
    <t>MLPT00266</t>
  </si>
  <si>
    <t>27-07-2023</t>
  </si>
  <si>
    <t>MLPT00267</t>
  </si>
  <si>
    <t>MLPT00268</t>
  </si>
  <si>
    <t>29-07-2023</t>
  </si>
  <si>
    <t>MLPT00269</t>
  </si>
  <si>
    <t>MLPT00270</t>
  </si>
  <si>
    <t>31-07-2023</t>
  </si>
  <si>
    <t>MLPT00271</t>
  </si>
  <si>
    <t>MLPT00272</t>
  </si>
  <si>
    <t>MLPT00273</t>
  </si>
  <si>
    <t>2023-08</t>
  </si>
  <si>
    <t>MLPT00274</t>
  </si>
  <si>
    <t>Tarun Kumar</t>
  </si>
  <si>
    <t>MLPT00275</t>
  </si>
  <si>
    <t>MLPT00276</t>
  </si>
  <si>
    <t>MLPT00277</t>
  </si>
  <si>
    <t>MLPT00278</t>
  </si>
  <si>
    <t>MLPT00279</t>
  </si>
  <si>
    <t>MLPT00280</t>
  </si>
  <si>
    <t>MLPT00281</t>
  </si>
  <si>
    <t>MLPT00282</t>
  </si>
  <si>
    <t>MLPT00283</t>
  </si>
  <si>
    <t>MLPT00284</t>
  </si>
  <si>
    <t>Samar Patel</t>
  </si>
  <si>
    <t>MLPT00285</t>
  </si>
  <si>
    <t>MLPT00286</t>
  </si>
  <si>
    <t>MLPT00287</t>
  </si>
  <si>
    <t>15-08-2023</t>
  </si>
  <si>
    <t>MLPT00288</t>
  </si>
  <si>
    <t>MLPT00289</t>
  </si>
  <si>
    <t>16-08-2023</t>
  </si>
  <si>
    <t>MLPT00290</t>
  </si>
  <si>
    <t>17-08-2023</t>
  </si>
  <si>
    <t>MLPT00291</t>
  </si>
  <si>
    <t>MLPT00292</t>
  </si>
  <si>
    <t>18-08-2023</t>
  </si>
  <si>
    <t>MLPT00293</t>
  </si>
  <si>
    <t>19-08-2023</t>
  </si>
  <si>
    <t>MLPT00294</t>
  </si>
  <si>
    <t>MLPT00295</t>
  </si>
  <si>
    <t>21-08-2023</t>
  </si>
  <si>
    <t>MLPT00296</t>
  </si>
  <si>
    <t>MLPT00297</t>
  </si>
  <si>
    <t>23-08-2023</t>
  </si>
  <si>
    <t>MLPT00298</t>
  </si>
  <si>
    <t>MLPT00299</t>
  </si>
  <si>
    <t>24-08-2023</t>
  </si>
  <si>
    <t>MLPT00300</t>
  </si>
  <si>
    <t>25-08-2023</t>
  </si>
  <si>
    <t>MLPT00301</t>
  </si>
  <si>
    <t>28-08-2023</t>
  </si>
  <si>
    <t>MLPT00302</t>
  </si>
  <si>
    <t>MLPT00303</t>
  </si>
  <si>
    <t>29-08-2023</t>
  </si>
  <si>
    <t>MLPT00304</t>
  </si>
  <si>
    <t>30-08-2023</t>
  </si>
  <si>
    <t>MLPT00305</t>
  </si>
  <si>
    <t>31-08-2023</t>
  </si>
  <si>
    <t>MLPT00306</t>
  </si>
  <si>
    <t>MLPT00307</t>
  </si>
  <si>
    <t>MLPT00308</t>
  </si>
  <si>
    <t>2023-09</t>
  </si>
  <si>
    <t>MLPT00309</t>
  </si>
  <si>
    <t>MLPT00310</t>
  </si>
  <si>
    <t>MLPT00311</t>
  </si>
  <si>
    <t>MLPT00312</t>
  </si>
  <si>
    <t>MLPT00313</t>
  </si>
  <si>
    <t>MLPT00314</t>
  </si>
  <si>
    <t>MLPT00315</t>
  </si>
  <si>
    <t>MLPT00316</t>
  </si>
  <si>
    <t>MLPT00317</t>
  </si>
  <si>
    <t>MLPT00318</t>
  </si>
  <si>
    <t>MLPT00319</t>
  </si>
  <si>
    <t>MLPT00320</t>
  </si>
  <si>
    <t>13-09-2023</t>
  </si>
  <si>
    <t>MLPT00321</t>
  </si>
  <si>
    <t>14-09-2023</t>
  </si>
  <si>
    <t>MLPT00322</t>
  </si>
  <si>
    <t>MLPT00323</t>
  </si>
  <si>
    <t>15-09-2023</t>
  </si>
  <si>
    <t>MLPT00324</t>
  </si>
  <si>
    <t>MLPT00325</t>
  </si>
  <si>
    <t>16-09-2023</t>
  </si>
  <si>
    <t>MLPT00326</t>
  </si>
  <si>
    <t>18-09-2023</t>
  </si>
  <si>
    <t>MLPT00327</t>
  </si>
  <si>
    <t>MLPT00328</t>
  </si>
  <si>
    <t>19-09-2023</t>
  </si>
  <si>
    <t>MLPT00329</t>
  </si>
  <si>
    <t>20-09-2023</t>
  </si>
  <si>
    <t>MLPT00330</t>
  </si>
  <si>
    <t>MLPT00331</t>
  </si>
  <si>
    <t>23-09-2023</t>
  </si>
  <si>
    <t>MLPT00332</t>
  </si>
  <si>
    <t>27-09-2023</t>
  </si>
  <si>
    <t>MLPT00333</t>
  </si>
  <si>
    <t>MLPT00334</t>
  </si>
  <si>
    <t>28-09-2023</t>
  </si>
  <si>
    <t>MLPT00335</t>
  </si>
  <si>
    <t>MLPT00336</t>
  </si>
  <si>
    <t>29-09-2023</t>
  </si>
  <si>
    <t>MLPT00337</t>
  </si>
  <si>
    <t>MLPT00338</t>
  </si>
  <si>
    <t>Devansh Yadav</t>
  </si>
  <si>
    <t>30-09-2023</t>
  </si>
  <si>
    <t>MLPT00339</t>
  </si>
  <si>
    <t>MLPT00340</t>
  </si>
  <si>
    <t>2023-10</t>
  </si>
  <si>
    <t>MLPT00341</t>
  </si>
  <si>
    <t>MLPT00342</t>
  </si>
  <si>
    <t>MLPT00343</t>
  </si>
  <si>
    <t>MLPT00344</t>
  </si>
  <si>
    <t>MLPT00345</t>
  </si>
  <si>
    <t>MLPT00346</t>
  </si>
  <si>
    <t>MLPT00347</t>
  </si>
  <si>
    <t>MLPT00348</t>
  </si>
  <si>
    <t>MLPT00349</t>
  </si>
  <si>
    <t>MLPT00350</t>
  </si>
  <si>
    <t>MLPT00351</t>
  </si>
  <si>
    <t>13-10-2023</t>
  </si>
  <si>
    <t>MLPT00352</t>
  </si>
  <si>
    <t>MLPT00353</t>
  </si>
  <si>
    <t>14-10-2023</t>
  </si>
  <si>
    <t>MLPT00354</t>
  </si>
  <si>
    <t>16-10-2023</t>
  </si>
  <si>
    <t>MLPT00355</t>
  </si>
  <si>
    <t>17-10-2023</t>
  </si>
  <si>
    <t>MLPT00356</t>
  </si>
  <si>
    <t>MLPT00357</t>
  </si>
  <si>
    <t>18-10-2023</t>
  </si>
  <si>
    <t>MLPT00358</t>
  </si>
  <si>
    <t>MLPT00359</t>
  </si>
  <si>
    <t>MLPT00360</t>
  </si>
  <si>
    <t>19-10-2023</t>
  </si>
  <si>
    <t>MLPT00361</t>
  </si>
  <si>
    <t>MLPT00362</t>
  </si>
  <si>
    <t>MLPT00363</t>
  </si>
  <si>
    <t>20-10-2023</t>
  </si>
  <si>
    <t>MLPT00364</t>
  </si>
  <si>
    <t>MLPT00365</t>
  </si>
  <si>
    <t>21-10-2023</t>
  </si>
  <si>
    <t>MLPT00366</t>
  </si>
  <si>
    <t>23-10-2023</t>
  </si>
  <si>
    <t>MLPT00367</t>
  </si>
  <si>
    <t>MLPT00368</t>
  </si>
  <si>
    <t>24-10-2023</t>
  </si>
  <si>
    <t>MLPT00369</t>
  </si>
  <si>
    <t>MLPT00370</t>
  </si>
  <si>
    <t>25-10-2023</t>
  </si>
  <si>
    <t>MLPT00371</t>
  </si>
  <si>
    <t>MLPT00372</t>
  </si>
  <si>
    <t>26-10-2023</t>
  </si>
  <si>
    <t>MLPT00373</t>
  </si>
  <si>
    <t>MLPT00374</t>
  </si>
  <si>
    <t>27-10-2023</t>
  </si>
  <si>
    <t>MLPT00375</t>
  </si>
  <si>
    <t>MLPT00376</t>
  </si>
  <si>
    <t>28-10-2023</t>
  </si>
  <si>
    <t>MLPT00377</t>
  </si>
  <si>
    <t>30-10-2023</t>
  </si>
  <si>
    <t>MLPT00378</t>
  </si>
  <si>
    <t>MLPT00379</t>
  </si>
  <si>
    <t>31-10-2023</t>
  </si>
  <si>
    <t>MLPT00380</t>
  </si>
  <si>
    <t>MLPT00381</t>
  </si>
  <si>
    <t>2023-11</t>
  </si>
  <si>
    <t>MLPT00382</t>
  </si>
  <si>
    <t>MLPT00383</t>
  </si>
  <si>
    <t>MLPT00384</t>
  </si>
  <si>
    <t>MLPT00385</t>
  </si>
  <si>
    <t>MLPT00386</t>
  </si>
  <si>
    <t>MLPT00387</t>
  </si>
  <si>
    <t>MLPT00388</t>
  </si>
  <si>
    <t>MLPT00389</t>
  </si>
  <si>
    <t>MLPT00390</t>
  </si>
  <si>
    <t>MLPT00391</t>
  </si>
  <si>
    <t>MLPT00392</t>
  </si>
  <si>
    <t>MLPT00393</t>
  </si>
  <si>
    <t>MLPT00394</t>
  </si>
  <si>
    <t>MLPT00395</t>
  </si>
  <si>
    <t>MLPT00396</t>
  </si>
  <si>
    <t>MLPT00397</t>
  </si>
  <si>
    <t>MLPT00398</t>
  </si>
  <si>
    <t>15-11-2023</t>
  </si>
  <si>
    <t>MLPT00399</t>
  </si>
  <si>
    <t>17-11-2023</t>
  </si>
  <si>
    <t>MLPT00400</t>
  </si>
  <si>
    <t>MLPT00401</t>
  </si>
  <si>
    <t>18-11-2023</t>
  </si>
  <si>
    <t>MLPT00402</t>
  </si>
  <si>
    <t>MLPT00403</t>
  </si>
  <si>
    <t>21-11-2023</t>
  </si>
  <si>
    <t>MLPT00404</t>
  </si>
  <si>
    <t>MLPT00405</t>
  </si>
  <si>
    <t>23-11-2023</t>
  </si>
  <si>
    <t>MLPT00406</t>
  </si>
  <si>
    <t>MLPT00407</t>
  </si>
  <si>
    <t>24-11-2023</t>
  </si>
  <si>
    <t>MLPT00408</t>
  </si>
  <si>
    <t>25-11-2023</t>
  </si>
  <si>
    <t>MLPT00409</t>
  </si>
  <si>
    <t>27-11-2023</t>
  </si>
  <si>
    <t>MLPT00410</t>
  </si>
  <si>
    <t>28-11-2023</t>
  </si>
  <si>
    <t>MLPT00411</t>
  </si>
  <si>
    <t>MLPT00412</t>
  </si>
  <si>
    <t>MLPT00413</t>
  </si>
  <si>
    <t>29-11-2023</t>
  </si>
  <si>
    <t>MLPT00414</t>
  </si>
  <si>
    <t>30-11-2023</t>
  </si>
  <si>
    <t>MLPT00415</t>
  </si>
  <si>
    <t>MLPT00416</t>
  </si>
  <si>
    <t>2023-12</t>
  </si>
  <si>
    <t>MLPT00417</t>
  </si>
  <si>
    <t>MLPT00418</t>
  </si>
  <si>
    <t>MLPT00419</t>
  </si>
  <si>
    <t>MLPT00420</t>
  </si>
  <si>
    <t>MLPT00421</t>
  </si>
  <si>
    <t>MLPT00422</t>
  </si>
  <si>
    <t>MLPT00423</t>
  </si>
  <si>
    <t>MLPT00424</t>
  </si>
  <si>
    <t>MLPT00425</t>
  </si>
  <si>
    <t>MLPT00426</t>
  </si>
  <si>
    <t>MLPT00427</t>
  </si>
  <si>
    <t>MLPT00428</t>
  </si>
  <si>
    <t>MLPT00429</t>
  </si>
  <si>
    <t>MLPT00430</t>
  </si>
  <si>
    <t>MLPT00431</t>
  </si>
  <si>
    <t>MLPT00432</t>
  </si>
  <si>
    <t>MLPT00433</t>
  </si>
  <si>
    <t>13-12-2023</t>
  </si>
  <si>
    <t>MLPT00434</t>
  </si>
  <si>
    <t>14-12-2023</t>
  </si>
  <si>
    <t>MLPT00435</t>
  </si>
  <si>
    <t>15-12-2023</t>
  </si>
  <si>
    <t>MLPT00436</t>
  </si>
  <si>
    <t>MLPT00437</t>
  </si>
  <si>
    <t>MLPT00438</t>
  </si>
  <si>
    <t>16-12-2023</t>
  </si>
  <si>
    <t>MLPT00439</t>
  </si>
  <si>
    <t>MLPT00440</t>
  </si>
  <si>
    <t>MLPT00441</t>
  </si>
  <si>
    <t>18-12-2023</t>
  </si>
  <si>
    <t>MLPT00442</t>
  </si>
  <si>
    <t>19-12-2023</t>
  </si>
  <si>
    <t>MLPT00443</t>
  </si>
  <si>
    <t>MLPT00444</t>
  </si>
  <si>
    <t>20-12-2023</t>
  </si>
  <si>
    <t>MLPT00445</t>
  </si>
  <si>
    <t>MLPT00446</t>
  </si>
  <si>
    <t>MLPT00447</t>
  </si>
  <si>
    <t>21-12-2023</t>
  </si>
  <si>
    <t>MLPT00448</t>
  </si>
  <si>
    <t>MLPT00449</t>
  </si>
  <si>
    <t>23-12-2023</t>
  </si>
  <si>
    <t>MLPT00450</t>
  </si>
  <si>
    <t>MLPT00451</t>
  </si>
  <si>
    <t>26-12-2023</t>
  </si>
  <si>
    <t>MLPT00452</t>
  </si>
  <si>
    <t>MLPT00453</t>
  </si>
  <si>
    <t>MLPT00454</t>
  </si>
  <si>
    <t>27-12-2023</t>
  </si>
  <si>
    <t>MLPT00455</t>
  </si>
  <si>
    <t>MLPT00456</t>
  </si>
  <si>
    <t>MLPT00457</t>
  </si>
  <si>
    <t>28-12-2023</t>
  </si>
  <si>
    <t>MLPT00458</t>
  </si>
  <si>
    <t>29-12-2023</t>
  </si>
  <si>
    <t>MLPT00459</t>
  </si>
  <si>
    <t>MLPT00460</t>
  </si>
  <si>
    <t>30-12-2023</t>
  </si>
  <si>
    <t>MLPT00461</t>
  </si>
  <si>
    <t>2024-01</t>
  </si>
  <si>
    <t>MLPT00462</t>
  </si>
  <si>
    <t>MLPT00463</t>
  </si>
  <si>
    <t>MLPT00464</t>
  </si>
  <si>
    <t>MLPT00465</t>
  </si>
  <si>
    <t>MLPT00466</t>
  </si>
  <si>
    <t>MLPT00467</t>
  </si>
  <si>
    <t>MLPT00468</t>
  </si>
  <si>
    <t>MLPT00469</t>
  </si>
  <si>
    <t>MLPT00470</t>
  </si>
  <si>
    <t>MLPT00471</t>
  </si>
  <si>
    <t>MLPT00472</t>
  </si>
  <si>
    <t>MLPT00473</t>
  </si>
  <si>
    <t>MLPT00474</t>
  </si>
  <si>
    <t>MLPT00475</t>
  </si>
  <si>
    <t>MLPT00476</t>
  </si>
  <si>
    <t>MLPT00477</t>
  </si>
  <si>
    <t>MLPT00478</t>
  </si>
  <si>
    <t>MLPT00479</t>
  </si>
  <si>
    <t>MLPT00480</t>
  </si>
  <si>
    <t>MLPT00481</t>
  </si>
  <si>
    <t>MLPT00482</t>
  </si>
  <si>
    <t>MLPT00483</t>
  </si>
  <si>
    <t>MLPT00484</t>
  </si>
  <si>
    <t>13-01-2024</t>
  </si>
  <si>
    <t>MLPT00485</t>
  </si>
  <si>
    <t>MLPT00486</t>
  </si>
  <si>
    <t>15-01-2024</t>
  </si>
  <si>
    <t>MLPT00487</t>
  </si>
  <si>
    <t>MLPT00488</t>
  </si>
  <si>
    <t>MLPT00489</t>
  </si>
  <si>
    <t>16-01-2024</t>
  </si>
  <si>
    <t>MLPT00490</t>
  </si>
  <si>
    <t>17-01-2024</t>
  </si>
  <si>
    <t>MLPT00491</t>
  </si>
  <si>
    <t>MLPT00492</t>
  </si>
  <si>
    <t>18-01-2024</t>
  </si>
  <si>
    <t>MLPT00493</t>
  </si>
  <si>
    <t>MLPT00494</t>
  </si>
  <si>
    <t>19-01-2024</t>
  </si>
  <si>
    <t>MLPT00495</t>
  </si>
  <si>
    <t>20-01-2024</t>
  </si>
  <si>
    <t>MLPT00496</t>
  </si>
  <si>
    <t>22-01-2024</t>
  </si>
  <si>
    <t>MLPT00497</t>
  </si>
  <si>
    <t>MLPT00498</t>
  </si>
  <si>
    <t>MLPT00499</t>
  </si>
  <si>
    <t>25-01-2024</t>
  </si>
  <si>
    <t>MLPT00500</t>
  </si>
  <si>
    <t>MLPT00501</t>
  </si>
  <si>
    <t>26-01-2024</t>
  </si>
  <si>
    <t>MLPT00502</t>
  </si>
  <si>
    <t>MLPT00503</t>
  </si>
  <si>
    <t>27-01-2024</t>
  </si>
  <si>
    <t>MLPT00504</t>
  </si>
  <si>
    <t>29-01-2024</t>
  </si>
  <si>
    <t>MLPT00505</t>
  </si>
  <si>
    <t>MLPT00506</t>
  </si>
  <si>
    <t>30-01-2024</t>
  </si>
  <si>
    <t>MLPT00507</t>
  </si>
  <si>
    <t>MLPT00508</t>
  </si>
  <si>
    <t>MLPT00509</t>
  </si>
  <si>
    <t>31-01-2024</t>
  </si>
  <si>
    <t>MLPT00510</t>
  </si>
  <si>
    <t>MLPT00511</t>
  </si>
  <si>
    <t>2024-02</t>
  </si>
  <si>
    <t>MLPT00512</t>
  </si>
  <si>
    <t>MLPT00513</t>
  </si>
  <si>
    <t>MLPT00514</t>
  </si>
  <si>
    <t>MLPT00515</t>
  </si>
  <si>
    <t>MLPT00516</t>
  </si>
  <si>
    <t>MLPT00517</t>
  </si>
  <si>
    <t>MLPT00518</t>
  </si>
  <si>
    <t>MLPT00519</t>
  </si>
  <si>
    <t>MLPT00520</t>
  </si>
  <si>
    <t>MLPT00521</t>
  </si>
  <si>
    <t>MLPT00522</t>
  </si>
  <si>
    <t>MLPT00523</t>
  </si>
  <si>
    <t>MLPT00524</t>
  </si>
  <si>
    <t>MLPT00525</t>
  </si>
  <si>
    <t>MLPT00526</t>
  </si>
  <si>
    <t>MLPT00527</t>
  </si>
  <si>
    <t>MLPT00528</t>
  </si>
  <si>
    <t>MLPT00529</t>
  </si>
  <si>
    <t>MLPT00530</t>
  </si>
  <si>
    <t>MLPT00531</t>
  </si>
  <si>
    <t>MLPT00532</t>
  </si>
  <si>
    <t>MLPT00533</t>
  </si>
  <si>
    <t>MLPT00534</t>
  </si>
  <si>
    <t>MLPT00535</t>
  </si>
  <si>
    <t>13-02-2024</t>
  </si>
  <si>
    <t>MLPT00536</t>
  </si>
  <si>
    <t>MLPT00537</t>
  </si>
  <si>
    <t>MLPT00538</t>
  </si>
  <si>
    <t>15-02-2024</t>
  </si>
  <si>
    <t>MLPT00539</t>
  </si>
  <si>
    <t>16-02-2024</t>
  </si>
  <si>
    <t>MLPT00540</t>
  </si>
  <si>
    <t>17-02-2024</t>
  </si>
  <si>
    <t>MLPT00541</t>
  </si>
  <si>
    <t>19-02-2024</t>
  </si>
  <si>
    <t>MLPT00542</t>
  </si>
  <si>
    <t>MLPT00543</t>
  </si>
  <si>
    <t>20-02-2024</t>
  </si>
  <si>
    <t>MLPT00544</t>
  </si>
  <si>
    <t>MLPT00545</t>
  </si>
  <si>
    <t>21-02-2024</t>
  </si>
  <si>
    <t>MLPT00546</t>
  </si>
  <si>
    <t>22-02-2024</t>
  </si>
  <si>
    <t>MLPT00547</t>
  </si>
  <si>
    <t>23-02-2024</t>
  </si>
  <si>
    <t>MLPT00548</t>
  </si>
  <si>
    <t>MLPT00549</t>
  </si>
  <si>
    <t>24-02-2024</t>
  </si>
  <si>
    <t>MLPT00550</t>
  </si>
  <si>
    <t>MLPT00551</t>
  </si>
  <si>
    <t>26-02-2024</t>
  </si>
  <si>
    <t>MLPT00552</t>
  </si>
  <si>
    <t>27-02-2024</t>
  </si>
  <si>
    <t>MLPT00553</t>
  </si>
  <si>
    <t>MLPT00554</t>
  </si>
  <si>
    <t>MLPT00555</t>
  </si>
  <si>
    <t>28-02-2024</t>
  </si>
  <si>
    <t>MLPT00556</t>
  </si>
  <si>
    <t>MLPT00557</t>
  </si>
  <si>
    <t>29-02-2024</t>
  </si>
  <si>
    <t>MLPT00558</t>
  </si>
  <si>
    <t>2024-03</t>
  </si>
  <si>
    <t>MLPT00559</t>
  </si>
  <si>
    <t>MLPT00560</t>
  </si>
  <si>
    <t>MLPT00561</t>
  </si>
  <si>
    <t>MLPT00562</t>
  </si>
  <si>
    <t>MLPT00563</t>
  </si>
  <si>
    <t>MLPT00564</t>
  </si>
  <si>
    <t>MLPT00565</t>
  </si>
  <si>
    <t>MLPT00566</t>
  </si>
  <si>
    <t>MLPT00567</t>
  </si>
  <si>
    <t>MLPT00568</t>
  </si>
  <si>
    <t>MLPT00569</t>
  </si>
  <si>
    <t>MLPT00570</t>
  </si>
  <si>
    <t>MLPT00571</t>
  </si>
  <si>
    <t>MLPT00572</t>
  </si>
  <si>
    <t>MLPT00573</t>
  </si>
  <si>
    <t>MLPT00574</t>
  </si>
  <si>
    <t>MLPT00575</t>
  </si>
  <si>
    <t>MLPT00576</t>
  </si>
  <si>
    <t>15-03-2024</t>
  </si>
  <si>
    <t>MLPT00577</t>
  </si>
  <si>
    <t>MLPT00578</t>
  </si>
  <si>
    <t>18-03-2024</t>
  </si>
  <si>
    <t>MLPT00579</t>
  </si>
  <si>
    <t>MLPT00580</t>
  </si>
  <si>
    <t>21-03-2024</t>
  </si>
  <si>
    <t>MLPT00581</t>
  </si>
  <si>
    <t>MLPT00582</t>
  </si>
  <si>
    <t>22-03-2024</t>
  </si>
  <si>
    <t>MLPT00583</t>
  </si>
  <si>
    <t>MLPT00584</t>
  </si>
  <si>
    <t>MLPT00585</t>
  </si>
  <si>
    <t>25-03-2024</t>
  </si>
  <si>
    <t>MLPT00586</t>
  </si>
  <si>
    <t>MLPT00587</t>
  </si>
  <si>
    <t>MLPT00588</t>
  </si>
  <si>
    <t>28-03-2024</t>
  </si>
  <si>
    <t>MLPT00589</t>
  </si>
  <si>
    <t>MLPT00590</t>
  </si>
  <si>
    <t>29-03-2024</t>
  </si>
  <si>
    <t>MLPT00591</t>
  </si>
  <si>
    <t>30-03-2024</t>
  </si>
  <si>
    <t>MLPT00592</t>
  </si>
  <si>
    <t>MLPT00593</t>
  </si>
  <si>
    <t>31-03-2024</t>
  </si>
  <si>
    <t>MLPT00594</t>
  </si>
  <si>
    <t>2024-04</t>
  </si>
  <si>
    <t>MLPT00595</t>
  </si>
  <si>
    <t>MLPT00596</t>
  </si>
  <si>
    <t>MLPT00597</t>
  </si>
  <si>
    <t>MLPT00598</t>
  </si>
  <si>
    <t>MLPT00599</t>
  </si>
  <si>
    <t>MLPT00600</t>
  </si>
  <si>
    <t>MLPT00601</t>
  </si>
  <si>
    <t>MLPT00602</t>
  </si>
  <si>
    <t>MLPT00603</t>
  </si>
  <si>
    <t>MLPT00604</t>
  </si>
  <si>
    <t>MLPT00605</t>
  </si>
  <si>
    <t>MLPT00606</t>
  </si>
  <si>
    <t>MLPT00607</t>
  </si>
  <si>
    <t>13-04-2024</t>
  </si>
  <si>
    <t>MLPT00608</t>
  </si>
  <si>
    <t>17-04-2024</t>
  </si>
  <si>
    <t>MLPT00609</t>
  </si>
  <si>
    <t>MLPT00610</t>
  </si>
  <si>
    <t>18-04-2024</t>
  </si>
  <si>
    <t>MLPT00611</t>
  </si>
  <si>
    <t>19-04-2024</t>
  </si>
  <si>
    <t>MLPT00612</t>
  </si>
  <si>
    <t>20-04-2024</t>
  </si>
  <si>
    <t>MLPT00613</t>
  </si>
  <si>
    <t>MLPT00614</t>
  </si>
  <si>
    <t>21-04-2024</t>
  </si>
  <si>
    <t>MLPT00615</t>
  </si>
  <si>
    <t>22-04-2024</t>
  </si>
  <si>
    <t>MLPT00616</t>
  </si>
  <si>
    <t>MLPT00617</t>
  </si>
  <si>
    <t>MLPT00618</t>
  </si>
  <si>
    <t>23-04-2024</t>
  </si>
  <si>
    <t>MLPT00619</t>
  </si>
  <si>
    <t>MLPT00620</t>
  </si>
  <si>
    <t>25-04-2024</t>
  </si>
  <si>
    <t>MLPT00621</t>
  </si>
  <si>
    <t>26-04-2024</t>
  </si>
  <si>
    <t>MLPT00622</t>
  </si>
  <si>
    <t>MLPT00623</t>
  </si>
  <si>
    <t>MLPT00624</t>
  </si>
  <si>
    <t>27-04-2024</t>
  </si>
  <si>
    <t>MLPT00625</t>
  </si>
  <si>
    <t>MLPT00626</t>
  </si>
  <si>
    <t>29-04-2024</t>
  </si>
  <si>
    <t>MLPT00627</t>
  </si>
  <si>
    <t>30-04-2024</t>
  </si>
  <si>
    <t>MLPT00628</t>
  </si>
  <si>
    <t>2024-05</t>
  </si>
  <si>
    <t>MLPT00629</t>
  </si>
  <si>
    <t>MLPT00630</t>
  </si>
  <si>
    <t>MLPT00631</t>
  </si>
  <si>
    <t>MLPT00632</t>
  </si>
  <si>
    <t>MLPT00633</t>
  </si>
  <si>
    <t>MLPT00634</t>
  </si>
  <si>
    <t>MLPT00635</t>
  </si>
  <si>
    <t>MLPT00636</t>
  </si>
  <si>
    <t>MLPT00637</t>
  </si>
  <si>
    <t>MLPT00638</t>
  </si>
  <si>
    <t>MLPT00639</t>
  </si>
  <si>
    <t>13-05-2024</t>
  </si>
  <si>
    <t>MLPT00640</t>
  </si>
  <si>
    <t>MLPT00641</t>
  </si>
  <si>
    <t>MLPT00642</t>
  </si>
  <si>
    <t>14-05-2024</t>
  </si>
  <si>
    <t>MLPT00643</t>
  </si>
  <si>
    <t>16-05-2024</t>
  </si>
  <si>
    <t>MLPT00644</t>
  </si>
  <si>
    <t>MLPT00645</t>
  </si>
  <si>
    <t>18-05-2024</t>
  </si>
  <si>
    <t>MLPT00646</t>
  </si>
  <si>
    <t>MLPT00647</t>
  </si>
  <si>
    <t>19-05-2024</t>
  </si>
  <si>
    <t>MLPT00648</t>
  </si>
  <si>
    <t>20-05-2024</t>
  </si>
  <si>
    <t>MLPT00649</t>
  </si>
  <si>
    <t>21-05-2024</t>
  </si>
  <si>
    <t>MLPT00650</t>
  </si>
  <si>
    <t>MLPT00651</t>
  </si>
  <si>
    <t>MLPT00652</t>
  </si>
  <si>
    <t>22-05-2024</t>
  </si>
  <si>
    <t>MLPT00653</t>
  </si>
  <si>
    <t>23-05-2024</t>
  </si>
  <si>
    <t>MLPT00654</t>
  </si>
  <si>
    <t>25-05-2024</t>
  </si>
  <si>
    <t>MLPT00655</t>
  </si>
  <si>
    <t>MLPT00656</t>
  </si>
  <si>
    <t>29-05-2024</t>
  </si>
  <si>
    <t>MLPT00657</t>
  </si>
  <si>
    <t>MLPT00658</t>
  </si>
  <si>
    <t>30-05-2024</t>
  </si>
  <si>
    <t>MLPT00659</t>
  </si>
  <si>
    <t>MLPT00660</t>
  </si>
  <si>
    <t>MLPT00661</t>
  </si>
  <si>
    <t>2024-06</t>
  </si>
  <si>
    <t>MLPT00662</t>
  </si>
  <si>
    <t>MLPT00663</t>
  </si>
  <si>
    <t>MLPT00664</t>
  </si>
  <si>
    <t>MLPT00665</t>
  </si>
  <si>
    <t>MLPT00666</t>
  </si>
  <si>
    <t>MLPT00667</t>
  </si>
  <si>
    <t>MLPT00668</t>
  </si>
  <si>
    <t>MLPT00669</t>
  </si>
  <si>
    <t>MLPT00670</t>
  </si>
  <si>
    <t>MLPT00671</t>
  </si>
  <si>
    <t>13-06-2024</t>
  </si>
  <si>
    <t>MLPT00672</t>
  </si>
  <si>
    <t>MLPT00673</t>
  </si>
  <si>
    <t>14-06-2024</t>
  </si>
  <si>
    <t>MLPT00674</t>
  </si>
  <si>
    <t>MLPT00675</t>
  </si>
  <si>
    <t>17-06-2024</t>
  </si>
  <si>
    <t>MLPT00676</t>
  </si>
  <si>
    <t>18-06-2024</t>
  </si>
  <si>
    <t>MLPT00677</t>
  </si>
  <si>
    <t>19-06-2024</t>
  </si>
  <si>
    <t>MLPT00678</t>
  </si>
  <si>
    <t>20-06-2024</t>
  </si>
  <si>
    <t>MLPT00679</t>
  </si>
  <si>
    <t>MLPT00680</t>
  </si>
  <si>
    <t>21-06-2024</t>
  </si>
  <si>
    <t>MLPT00681</t>
  </si>
  <si>
    <t>MLPT00682</t>
  </si>
  <si>
    <t>22-06-2024</t>
  </si>
  <si>
    <t>MLPT00683</t>
  </si>
  <si>
    <t>MLPT00684</t>
  </si>
  <si>
    <t>26-06-2024</t>
  </si>
  <si>
    <t>MLPT00685</t>
  </si>
  <si>
    <t>28-06-2024</t>
  </si>
  <si>
    <t>MLPT00686</t>
  </si>
  <si>
    <t>MLPT00687</t>
  </si>
  <si>
    <t>29-06-2024</t>
  </si>
  <si>
    <t>MLPT00688</t>
  </si>
  <si>
    <t>2024-07</t>
  </si>
  <si>
    <t>MLPT00689</t>
  </si>
  <si>
    <t>MLPT00690</t>
  </si>
  <si>
    <t>MLPT00691</t>
  </si>
  <si>
    <t>MLPT00692</t>
  </si>
  <si>
    <t>MLPT00693</t>
  </si>
  <si>
    <t>MLPT00694</t>
  </si>
  <si>
    <t>MLPT00695</t>
  </si>
  <si>
    <t>MLPT00696</t>
  </si>
  <si>
    <t>MLPT00697</t>
  </si>
  <si>
    <t>MLPT00698</t>
  </si>
  <si>
    <t>MLPT00699</t>
  </si>
  <si>
    <t>MLPT00700</t>
  </si>
  <si>
    <t>MLPT00701</t>
  </si>
  <si>
    <t>15-07-2024</t>
  </si>
  <si>
    <t>MLPT00702</t>
  </si>
  <si>
    <t>MLPT00703</t>
  </si>
  <si>
    <t>16-07-2024</t>
  </si>
  <si>
    <t>MLPT00704</t>
  </si>
  <si>
    <t>17-07-2024</t>
  </si>
  <si>
    <t>MLPT00705</t>
  </si>
  <si>
    <t>19-07-2024</t>
  </si>
  <si>
    <t>MLPT00706</t>
  </si>
  <si>
    <t>MLPT00707</t>
  </si>
  <si>
    <t>20-07-2024</t>
  </si>
  <si>
    <t>MLPT00708</t>
  </si>
  <si>
    <t>22-07-2024</t>
  </si>
  <si>
    <t>MLPT00709</t>
  </si>
  <si>
    <t>MLPT00710</t>
  </si>
  <si>
    <t>24-07-2024</t>
  </si>
  <si>
    <t>MLPT00711</t>
  </si>
  <si>
    <t>25-07-2024</t>
  </si>
  <si>
    <t>MLPT00712</t>
  </si>
  <si>
    <t>MLPT00713</t>
  </si>
  <si>
    <t>26-07-2024</t>
  </si>
  <si>
    <t>MLPT00714</t>
  </si>
  <si>
    <t>MLPT00715</t>
  </si>
  <si>
    <t>27-07-2024</t>
  </si>
  <si>
    <t>MLPT00716</t>
  </si>
  <si>
    <t>MLPT00717</t>
  </si>
  <si>
    <t>28-07-2024</t>
  </si>
  <si>
    <t>MLPT00718</t>
  </si>
  <si>
    <t>2024-08</t>
  </si>
  <si>
    <t>MLPT00719</t>
  </si>
  <si>
    <t>MLPT00720</t>
  </si>
  <si>
    <t>MLPT00721</t>
  </si>
  <si>
    <t>MLPT00722</t>
  </si>
  <si>
    <t>MLPT00723</t>
  </si>
  <si>
    <t>MLPT00724</t>
  </si>
  <si>
    <t>MLPT00725</t>
  </si>
  <si>
    <t>MLPT00726</t>
  </si>
  <si>
    <t>MLPT00727</t>
  </si>
  <si>
    <t>MLPT00728</t>
  </si>
  <si>
    <t>MLPT00729</t>
  </si>
  <si>
    <t>MLPT00730</t>
  </si>
  <si>
    <t>MLPT00731</t>
  </si>
  <si>
    <t>MLPT00732</t>
  </si>
  <si>
    <t>MLPT00733</t>
  </si>
  <si>
    <t>MLPT00734</t>
  </si>
  <si>
    <t>15-08-2024</t>
  </si>
  <si>
    <t>MLPT00735</t>
  </si>
  <si>
    <t>17-08-2024</t>
  </si>
  <si>
    <t>MLPT00736</t>
  </si>
  <si>
    <t>MLPT00737</t>
  </si>
  <si>
    <t>19-08-2024</t>
  </si>
  <si>
    <t>MLPT00738</t>
  </si>
  <si>
    <t>20-08-2024</t>
  </si>
  <si>
    <t>MLPT00739</t>
  </si>
  <si>
    <t>22-08-2024</t>
  </si>
  <si>
    <t>MLPT00740</t>
  </si>
  <si>
    <t>MLPT00741</t>
  </si>
  <si>
    <t>23-08-2024</t>
  </si>
  <si>
    <t>MLPT00742</t>
  </si>
  <si>
    <t>MLPT00743</t>
  </si>
  <si>
    <t>MLPT00744</t>
  </si>
  <si>
    <t>24-08-2024</t>
  </si>
  <si>
    <t>MLPT00745</t>
  </si>
  <si>
    <t>26-08-2024</t>
  </si>
  <si>
    <t>MLPT00746</t>
  </si>
  <si>
    <t>MLPT00747</t>
  </si>
  <si>
    <t>MLPT00748</t>
  </si>
  <si>
    <t>27-08-2024</t>
  </si>
  <si>
    <t>MLPT00749</t>
  </si>
  <si>
    <t>MLPT00750</t>
  </si>
  <si>
    <t>28-08-2024</t>
  </si>
  <si>
    <t>MLPT00751</t>
  </si>
  <si>
    <t>MLPT00752</t>
  </si>
  <si>
    <t>30-08-2024</t>
  </si>
  <si>
    <t>MLPT00753</t>
  </si>
  <si>
    <t>MLPT00754</t>
  </si>
  <si>
    <t>31-08-2024</t>
  </si>
  <si>
    <t>MLPT00755</t>
  </si>
  <si>
    <t>MLPT00756</t>
  </si>
  <si>
    <t>2024-09</t>
  </si>
  <si>
    <t>MLPT00757</t>
  </si>
  <si>
    <t>MLPT00758</t>
  </si>
  <si>
    <t>MLPT00759</t>
  </si>
  <si>
    <t>MLPT00760</t>
  </si>
  <si>
    <t>MLPT00761</t>
  </si>
  <si>
    <t>MLPT00762</t>
  </si>
  <si>
    <t>MLPT00763</t>
  </si>
  <si>
    <t>MLPT00764</t>
  </si>
  <si>
    <t>MLPT00765</t>
  </si>
  <si>
    <t>MLPT00766</t>
  </si>
  <si>
    <t>MLPT00767</t>
  </si>
  <si>
    <t>MLPT00768</t>
  </si>
  <si>
    <t>MLPT00769</t>
  </si>
  <si>
    <t>14-09-2024</t>
  </si>
  <si>
    <t>MLPT00770</t>
  </si>
  <si>
    <t>MLPT00771</t>
  </si>
  <si>
    <t>17-09-2024</t>
  </si>
  <si>
    <t>MLPT00772</t>
  </si>
  <si>
    <t>MLPT00773</t>
  </si>
  <si>
    <t>18-09-2024</t>
  </si>
  <si>
    <t>MLPT00774</t>
  </si>
  <si>
    <t>MLPT00775</t>
  </si>
  <si>
    <t>19-09-2024</t>
  </si>
  <si>
    <t>MLPT00776</t>
  </si>
  <si>
    <t>MLPT00777</t>
  </si>
  <si>
    <t>20-09-2024</t>
  </si>
  <si>
    <t>MLPT00778</t>
  </si>
  <si>
    <t>MLPT00779</t>
  </si>
  <si>
    <t>21-09-2024</t>
  </si>
  <si>
    <t>MLPT00780</t>
  </si>
  <si>
    <t>MLPT00781</t>
  </si>
  <si>
    <t>23-09-2024</t>
  </si>
  <si>
    <t>MLPT00782</t>
  </si>
  <si>
    <t>26-09-2024</t>
  </si>
  <si>
    <t>MLPT00783</t>
  </si>
  <si>
    <t>2024-10</t>
  </si>
  <si>
    <t>MLPT00784</t>
  </si>
  <si>
    <t>MLPT00785</t>
  </si>
  <si>
    <t>MLPT00786</t>
  </si>
  <si>
    <t>MLPT00787</t>
  </si>
  <si>
    <t>MLPT00788</t>
  </si>
  <si>
    <t>MLPT00789</t>
  </si>
  <si>
    <t>MLPT00790</t>
  </si>
  <si>
    <t>MLPT00791</t>
  </si>
  <si>
    <t>MLPT00792</t>
  </si>
  <si>
    <t>MLPT00793</t>
  </si>
  <si>
    <t>MLPT00794</t>
  </si>
  <si>
    <t>MLPT00795</t>
  </si>
  <si>
    <t>MLPT00796</t>
  </si>
  <si>
    <t>MLPT00797</t>
  </si>
  <si>
    <t>MLPT00798</t>
  </si>
  <si>
    <t>15-10-2024</t>
  </si>
  <si>
    <t>MLPT00799</t>
  </si>
  <si>
    <t>17-10-2024</t>
  </si>
  <si>
    <t>MLPT00800</t>
  </si>
  <si>
    <t>18-10-2024</t>
  </si>
  <si>
    <t>MLPT00801</t>
  </si>
  <si>
    <t>MLPT00802</t>
  </si>
  <si>
    <t>21-10-2024</t>
  </si>
  <si>
    <t>MLPT00803</t>
  </si>
  <si>
    <t>22-10-2024</t>
  </si>
  <si>
    <t>MLPT00804</t>
  </si>
  <si>
    <t>MLPT00805</t>
  </si>
  <si>
    <t>23-10-2024</t>
  </si>
  <si>
    <t>MLPT00806</t>
  </si>
  <si>
    <t>MLPT00807</t>
  </si>
  <si>
    <t>MLPT00808</t>
  </si>
  <si>
    <t>25-10-2024</t>
  </si>
  <si>
    <t>MLPT00809</t>
  </si>
  <si>
    <t>MLPT00810</t>
  </si>
  <si>
    <t>26-10-2024</t>
  </si>
  <si>
    <t>MLPT00811</t>
  </si>
  <si>
    <t>MLPT00812</t>
  </si>
  <si>
    <t>29-10-2024</t>
  </si>
  <si>
    <t>MLPT00813</t>
  </si>
  <si>
    <t>30-10-2024</t>
  </si>
  <si>
    <t>MLPT00814</t>
  </si>
  <si>
    <t>31-10-2024</t>
  </si>
  <si>
    <t>MLPT00815</t>
  </si>
  <si>
    <t>MLPT00816</t>
  </si>
  <si>
    <t>MLPT00817</t>
  </si>
  <si>
    <t>2024-11</t>
  </si>
  <si>
    <t>MLPT00818</t>
  </si>
  <si>
    <t>MLPT00819</t>
  </si>
  <si>
    <t>MLPT00820</t>
  </si>
  <si>
    <t>MLPT00821</t>
  </si>
  <si>
    <t>MLPT00822</t>
  </si>
  <si>
    <t>MLPT00823</t>
  </si>
  <si>
    <t>MLPT00824</t>
  </si>
  <si>
    <t>MLPT00825</t>
  </si>
  <si>
    <t>MLPT00826</t>
  </si>
  <si>
    <t>MLPT00827</t>
  </si>
  <si>
    <t>13-11-2024</t>
  </si>
  <si>
    <t>MLPT00828</t>
  </si>
  <si>
    <t>14-11-2024</t>
  </si>
  <si>
    <t>MLPT00829</t>
  </si>
  <si>
    <t>MLPT00830</t>
  </si>
  <si>
    <t>15-11-2024</t>
  </si>
  <si>
    <t>MLPT00831</t>
  </si>
  <si>
    <t>MLPT00832</t>
  </si>
  <si>
    <t>16-11-2024</t>
  </si>
  <si>
    <t>MLPT00833</t>
  </si>
  <si>
    <t>MLPT00834</t>
  </si>
  <si>
    <t>19-11-2024</t>
  </si>
  <si>
    <t>MLPT00835</t>
  </si>
  <si>
    <t>21-11-2024</t>
  </si>
  <si>
    <t>MLPT00836</t>
  </si>
  <si>
    <t>MLPT00837</t>
  </si>
  <si>
    <t>MLPT00838</t>
  </si>
  <si>
    <t>22-11-2024</t>
  </si>
  <si>
    <t>MLPT00839</t>
  </si>
  <si>
    <t>23-11-2024</t>
  </si>
  <si>
    <t>MLPT00840</t>
  </si>
  <si>
    <t>MLPT00841</t>
  </si>
  <si>
    <t>25-11-2024</t>
  </si>
  <si>
    <t>MLPT00842</t>
  </si>
  <si>
    <t>MLPT00843</t>
  </si>
  <si>
    <t>26-11-2024</t>
  </si>
  <si>
    <t>MLPT00844</t>
  </si>
  <si>
    <t>MLPT00845</t>
  </si>
  <si>
    <t>27-11-2024</t>
  </si>
  <si>
    <t>MLPT00846</t>
  </si>
  <si>
    <t>28-11-2024</t>
  </si>
  <si>
    <t>MLPT00847</t>
  </si>
  <si>
    <t>29-11-2024</t>
  </si>
  <si>
    <t>MLPT00848</t>
  </si>
  <si>
    <t>30-11-2024</t>
  </si>
  <si>
    <t>MLPT00849</t>
  </si>
  <si>
    <t>2024-12</t>
  </si>
  <si>
    <t>MLPT00850</t>
  </si>
  <si>
    <t>MLPT00851</t>
  </si>
  <si>
    <t>MLPT00852</t>
  </si>
  <si>
    <t>MLPT00853</t>
  </si>
  <si>
    <t>MLPT00854</t>
  </si>
  <si>
    <t>MLPT00855</t>
  </si>
  <si>
    <t>MLPT00856</t>
  </si>
  <si>
    <t>MLPT00857</t>
  </si>
  <si>
    <t>MLPT00858</t>
  </si>
  <si>
    <t>MLPT00859</t>
  </si>
  <si>
    <t>MLPT00860</t>
  </si>
  <si>
    <t>MLPT00861</t>
  </si>
  <si>
    <t>MLPT00862</t>
  </si>
  <si>
    <t>MLPT00863</t>
  </si>
  <si>
    <t>MLPT00864</t>
  </si>
  <si>
    <t>MLPT00865</t>
  </si>
  <si>
    <t>MLPT00866</t>
  </si>
  <si>
    <t>MLPT00867</t>
  </si>
  <si>
    <t>MLPT00868</t>
  </si>
  <si>
    <t>MLPT00869</t>
  </si>
  <si>
    <t>MLPT00870</t>
  </si>
  <si>
    <t>MLPT00871</t>
  </si>
  <si>
    <t>MLPT00872</t>
  </si>
  <si>
    <t>MLPT00873</t>
  </si>
  <si>
    <t>MLPT00874</t>
  </si>
  <si>
    <t>MLPT00875</t>
  </si>
  <si>
    <t>MLPT00876</t>
  </si>
  <si>
    <t>MLPT00877</t>
  </si>
  <si>
    <t>MLPT00878</t>
  </si>
  <si>
    <t>MLPT00879</t>
  </si>
  <si>
    <t>MLPT00880</t>
  </si>
  <si>
    <t>MLPT00881</t>
  </si>
  <si>
    <t>MLPT00882</t>
  </si>
  <si>
    <t>MLPT00883</t>
  </si>
  <si>
    <t>MLPT00884</t>
  </si>
  <si>
    <t>MLPT00885</t>
  </si>
  <si>
    <t>MLPT00886</t>
  </si>
  <si>
    <t>MLPT00887</t>
  </si>
  <si>
    <t>MLPT00888</t>
  </si>
  <si>
    <t>MLPT00889</t>
  </si>
  <si>
    <t>MLPT00890</t>
  </si>
  <si>
    <t>MLPT00891</t>
  </si>
  <si>
    <t>MLPT00892</t>
  </si>
  <si>
    <t>MLPT00893</t>
  </si>
  <si>
    <t>MLPT00894</t>
  </si>
  <si>
    <t>MLPT00895</t>
  </si>
  <si>
    <t>MLPT00896</t>
  </si>
  <si>
    <t>MLPT00897</t>
  </si>
  <si>
    <t>ICD-10 Code</t>
  </si>
  <si>
    <t>Diagnosis</t>
  </si>
  <si>
    <t>Z01.2</t>
  </si>
  <si>
    <t>Dental examination</t>
  </si>
  <si>
    <t>Dental examination with radiology</t>
  </si>
  <si>
    <t>K05.10</t>
  </si>
  <si>
    <t>Gingivitis</t>
  </si>
  <si>
    <t>K02.9</t>
  </si>
  <si>
    <t>Dental caries</t>
  </si>
  <si>
    <t>K04.0</t>
  </si>
  <si>
    <t>Pulpitis</t>
  </si>
  <si>
    <t>K08.1</t>
  </si>
  <si>
    <t>Loss of teeth</t>
  </si>
  <si>
    <t>K08.3</t>
  </si>
  <si>
    <t>Retained dental root</t>
  </si>
  <si>
    <t>Missing teeth</t>
  </si>
  <si>
    <t>K07.4</t>
  </si>
  <si>
    <t>Malocclusion</t>
  </si>
  <si>
    <t>Z41.1</t>
  </si>
  <si>
    <t>Cosmetic procedure</t>
  </si>
  <si>
    <t>diagnosis</t>
  </si>
  <si>
    <t>icd10 code</t>
  </si>
  <si>
    <t>Row Labels</t>
  </si>
  <si>
    <t>Grand Total</t>
  </si>
  <si>
    <t>Column Labels</t>
  </si>
  <si>
    <t>Sum of Total Paid</t>
  </si>
  <si>
    <t>Sum of Profit</t>
  </si>
  <si>
    <t>Sum of Due</t>
  </si>
  <si>
    <t>Mounth</t>
  </si>
  <si>
    <t xml:space="preserve"> Total Paid</t>
  </si>
  <si>
    <t>treatment</t>
  </si>
  <si>
    <t xml:space="preserve"> Profit</t>
  </si>
  <si>
    <t>Doctor</t>
  </si>
  <si>
    <t xml:space="preserve">  Total Paid</t>
  </si>
  <si>
    <t xml:space="preserve">Doctor </t>
  </si>
  <si>
    <t xml:space="preserve">  Profit</t>
  </si>
  <si>
    <t>patient type</t>
  </si>
  <si>
    <t>Sum of Discount</t>
  </si>
  <si>
    <t/>
  </si>
  <si>
    <t>work load</t>
  </si>
  <si>
    <t>Count of Patient ID</t>
  </si>
  <si>
    <t>count</t>
  </si>
  <si>
    <t>Doctors</t>
  </si>
  <si>
    <t>type of treatment</t>
  </si>
  <si>
    <t>count of cases</t>
  </si>
  <si>
    <t xml:space="preserve">count of patient </t>
  </si>
  <si>
    <t xml:space="preserve">Count of Patient </t>
  </si>
  <si>
    <t xml:space="preserve">Count of Patient   </t>
  </si>
  <si>
    <t xml:space="preserve">Count of Patient    </t>
  </si>
  <si>
    <t>(All)</t>
  </si>
  <si>
    <t>xray</t>
  </si>
  <si>
    <t>Sum of X-Ray Cost</t>
  </si>
  <si>
    <t>Sum of Lab Charges</t>
  </si>
  <si>
    <t>payment method</t>
  </si>
  <si>
    <t xml:space="preserve">                </t>
  </si>
  <si>
    <t>Dental clinic dashboard</t>
  </si>
  <si>
    <t>=</t>
  </si>
  <si>
    <t>Revenue</t>
  </si>
  <si>
    <t>Total REVENUE</t>
  </si>
  <si>
    <t>profit</t>
  </si>
  <si>
    <t>AVG REVENUE</t>
  </si>
  <si>
    <t>patient count</t>
  </si>
  <si>
    <t xml:space="preserve"> COLLECTION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</si>
</sst>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0"/>
      <name val="Calibri"/>
      <family val="2"/>
      <scheme val="minor"/>
    </font>
    <font>
      <sz val="36"/>
      <color theme="1"/>
      <name val="Calibri"/>
      <family val="2"/>
      <scheme val="minor"/>
    </font>
    <font>
      <sz val="36"/>
      <color rgb="FF9C0006"/>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4" fontId="0" fillId="0" borderId="0" xfId="0" applyNumberFormat="1"/>
    <xf numFmtId="165" fontId="0" fillId="0" borderId="0" xfId="0" applyNumberFormat="1"/>
    <xf numFmtId="14" fontId="0" fillId="0" borderId="0" xfId="0" pivotButton="1" applyNumberFormat="1"/>
    <xf numFmtId="0" fontId="0" fillId="0" borderId="0" xfId="0" applyAlignment="1">
      <alignment horizontal="left" indent="1"/>
    </xf>
    <xf numFmtId="0" fontId="18" fillId="9" borderId="0" xfId="18" applyFont="1" applyAlignment="1">
      <alignment vertical="center"/>
    </xf>
    <xf numFmtId="165" fontId="19" fillId="0" borderId="0" xfId="0" applyNumberFormat="1" applyFont="1"/>
    <xf numFmtId="0" fontId="19" fillId="0" borderId="0" xfId="0" applyFont="1" applyAlignment="1">
      <alignment horizontal="center"/>
    </xf>
    <xf numFmtId="0" fontId="18" fillId="9" borderId="0" xfId="18" applyFont="1" applyAlignment="1">
      <alignment horizontal="center"/>
    </xf>
    <xf numFmtId="165" fontId="19" fillId="0" borderId="0" xfId="0" applyNumberFormat="1" applyFont="1" applyAlignment="1">
      <alignment vertical="center"/>
    </xf>
    <xf numFmtId="0" fontId="7" fillId="3" borderId="0" xfId="7"/>
    <xf numFmtId="0" fontId="20" fillId="3" borderId="0" xfId="7" applyFont="1"/>
    <xf numFmtId="9" fontId="19"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0" formatCode="General"/>
    </dxf>
    <dxf>
      <numFmt numFmtId="165" formatCode="&quot;$&quot;#,##0.00"/>
    </dxf>
    <dxf>
      <numFmt numFmtId="165" formatCode="&quot;$&quot;#,##0.00"/>
    </dxf>
    <dxf>
      <numFmt numFmtId="19" formatCode="m/d/yyyy"/>
    </dxf>
    <dxf>
      <numFmt numFmtId="19" formatCode="m/d/yyyy"/>
    </dxf>
    <dxf>
      <numFmt numFmtId="165" formatCode="&quot;$&quot;#,##0.00"/>
    </dxf>
    <dxf>
      <numFmt numFmtId="165" formatCode="&quot;$&quot;#,##0.00"/>
    </dxf>
    <dxf>
      <numFmt numFmtId="164" formatCode="yyyy\-mm\-dd;@"/>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final_data_mldc (1).xlsx]Revenue and financial !PivotTable8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Revenue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'Revenue and financial '!$M$1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and financial '!$L$2:$L$26</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'Revenue and financial '!$M$2:$M$26</c:f>
              <c:numCache>
                <c:formatCode>"$"#,##0.00</c:formatCode>
                <c:ptCount val="24"/>
                <c:pt idx="0">
                  <c:v>136975.20000000001</c:v>
                </c:pt>
                <c:pt idx="1">
                  <c:v>136843.4</c:v>
                </c:pt>
                <c:pt idx="2">
                  <c:v>73510.399999999994</c:v>
                </c:pt>
                <c:pt idx="3">
                  <c:v>108569.60000000001</c:v>
                </c:pt>
                <c:pt idx="4">
                  <c:v>56856.4</c:v>
                </c:pt>
                <c:pt idx="5">
                  <c:v>26459.200000000001</c:v>
                </c:pt>
                <c:pt idx="6">
                  <c:v>84297</c:v>
                </c:pt>
                <c:pt idx="7">
                  <c:v>46295.4</c:v>
                </c:pt>
                <c:pt idx="8">
                  <c:v>38989</c:v>
                </c:pt>
                <c:pt idx="9">
                  <c:v>50215</c:v>
                </c:pt>
                <c:pt idx="10">
                  <c:v>38081.199999999997</c:v>
                </c:pt>
                <c:pt idx="11">
                  <c:v>173873</c:v>
                </c:pt>
                <c:pt idx="12">
                  <c:v>129080.4</c:v>
                </c:pt>
                <c:pt idx="13">
                  <c:v>61593</c:v>
                </c:pt>
                <c:pt idx="14">
                  <c:v>137501</c:v>
                </c:pt>
                <c:pt idx="15">
                  <c:v>52103.6</c:v>
                </c:pt>
                <c:pt idx="16">
                  <c:v>32949.599999999999</c:v>
                </c:pt>
                <c:pt idx="17">
                  <c:v>45390</c:v>
                </c:pt>
                <c:pt idx="18">
                  <c:v>76580</c:v>
                </c:pt>
                <c:pt idx="19">
                  <c:v>85032</c:v>
                </c:pt>
                <c:pt idx="20">
                  <c:v>34883.4</c:v>
                </c:pt>
                <c:pt idx="21">
                  <c:v>148381</c:v>
                </c:pt>
                <c:pt idx="22">
                  <c:v>17501</c:v>
                </c:pt>
                <c:pt idx="23">
                  <c:v>103620</c:v>
                </c:pt>
              </c:numCache>
            </c:numRef>
          </c:val>
          <c:extLst>
            <c:ext xmlns:c16="http://schemas.microsoft.com/office/drawing/2014/chart" uri="{C3380CC4-5D6E-409C-BE32-E72D297353CC}">
              <c16:uniqueId val="{00000002-130B-400F-B9E1-C2CBAC7F9BBA}"/>
            </c:ext>
          </c:extLst>
        </c:ser>
        <c:dLbls>
          <c:showLegendKey val="0"/>
          <c:showVal val="0"/>
          <c:showCatName val="0"/>
          <c:showSerName val="0"/>
          <c:showPercent val="0"/>
          <c:showBubbleSize val="0"/>
        </c:dLbls>
        <c:gapWidth val="100"/>
        <c:axId val="557814528"/>
        <c:axId val="557814200"/>
      </c:barChart>
      <c:valAx>
        <c:axId val="557814200"/>
        <c:scaling>
          <c:orientation val="minMax"/>
        </c:scaling>
        <c:delete val="1"/>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crossAx val="557814528"/>
        <c:crosses val="autoZero"/>
        <c:crossBetween val="between"/>
      </c:valAx>
      <c:catAx>
        <c:axId val="5578145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81420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final_data_mldc (1).xlsx]Revenue and financial !PivotTable10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'Revenue and financial '!$E$1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and financial '!$D$2:$D$12</c:f>
              <c:strCache>
                <c:ptCount val="10"/>
                <c:pt idx="0">
                  <c:v>Bleaching</c:v>
                </c:pt>
                <c:pt idx="1">
                  <c:v>Braces</c:v>
                </c:pt>
                <c:pt idx="2">
                  <c:v>Cleaning</c:v>
                </c:pt>
                <c:pt idx="3">
                  <c:v>Crown</c:v>
                </c:pt>
                <c:pt idx="4">
                  <c:v>Extraction</c:v>
                </c:pt>
                <c:pt idx="5">
                  <c:v>Filling</c:v>
                </c:pt>
                <c:pt idx="6">
                  <c:v>Implants</c:v>
                </c:pt>
                <c:pt idx="7">
                  <c:v>OPD</c:v>
                </c:pt>
                <c:pt idx="8">
                  <c:v>OPD + X-Ray</c:v>
                </c:pt>
                <c:pt idx="9">
                  <c:v>RCT</c:v>
                </c:pt>
              </c:strCache>
            </c:strRef>
          </c:cat>
          <c:val>
            <c:numRef>
              <c:f>'Revenue and financial '!$E$2:$E$12</c:f>
              <c:numCache>
                <c:formatCode>General</c:formatCode>
                <c:ptCount val="10"/>
                <c:pt idx="0">
                  <c:v>51398</c:v>
                </c:pt>
                <c:pt idx="1">
                  <c:v>484343</c:v>
                </c:pt>
                <c:pt idx="2">
                  <c:v>31776.000000000004</c:v>
                </c:pt>
                <c:pt idx="3">
                  <c:v>46363</c:v>
                </c:pt>
                <c:pt idx="4">
                  <c:v>20877</c:v>
                </c:pt>
                <c:pt idx="5">
                  <c:v>19103.8</c:v>
                </c:pt>
                <c:pt idx="6">
                  <c:v>606438</c:v>
                </c:pt>
                <c:pt idx="7">
                  <c:v>48100</c:v>
                </c:pt>
                <c:pt idx="8">
                  <c:v>90030</c:v>
                </c:pt>
                <c:pt idx="9">
                  <c:v>77201</c:v>
                </c:pt>
              </c:numCache>
            </c:numRef>
          </c:val>
          <c:extLst>
            <c:ext xmlns:c16="http://schemas.microsoft.com/office/drawing/2014/chart" uri="{C3380CC4-5D6E-409C-BE32-E72D297353CC}">
              <c16:uniqueId val="{00000000-B8C6-4E82-ADBF-E2A28A6DA9DF}"/>
            </c:ext>
          </c:extLst>
        </c:ser>
        <c:dLbls>
          <c:showLegendKey val="0"/>
          <c:showVal val="1"/>
          <c:showCatName val="0"/>
          <c:showSerName val="0"/>
          <c:showPercent val="0"/>
          <c:showBubbleSize val="0"/>
        </c:dLbls>
        <c:gapWidth val="65"/>
        <c:shape val="box"/>
        <c:axId val="557807640"/>
        <c:axId val="557811904"/>
        <c:axId val="535492456"/>
      </c:bar3DChart>
      <c:catAx>
        <c:axId val="557807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7811904"/>
        <c:crosses val="autoZero"/>
        <c:auto val="1"/>
        <c:lblAlgn val="ctr"/>
        <c:lblOffset val="100"/>
        <c:noMultiLvlLbl val="0"/>
      </c:catAx>
      <c:valAx>
        <c:axId val="55781190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7807640"/>
        <c:crosses val="autoZero"/>
        <c:crossBetween val="between"/>
      </c:valAx>
      <c:serAx>
        <c:axId val="5354924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781190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final_data_mldc (1).xlsx]Medical analysis !PivotTable3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Treatment</a:t>
            </a:r>
            <a:r>
              <a:rPr lang="en-US" baseline="0"/>
              <a:t> count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'Medical analysis '!$F$2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66F-499F-826C-2D40ABF1C0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66F-499F-826C-2D40ABF1C0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66F-499F-826C-2D40ABF1C02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66F-499F-826C-2D40ABF1C02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66F-499F-826C-2D40ABF1C02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66F-499F-826C-2D40ABF1C02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66F-499F-826C-2D40ABF1C02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66F-499F-826C-2D40ABF1C02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66F-499F-826C-2D40ABF1C02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66F-499F-826C-2D40ABF1C0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'Medical analysis '!$E$3:$E$13</c:f>
              <c:strCache>
                <c:ptCount val="10"/>
                <c:pt idx="0">
                  <c:v>Bleaching</c:v>
                </c:pt>
                <c:pt idx="1">
                  <c:v>Braces</c:v>
                </c:pt>
                <c:pt idx="2">
                  <c:v>Cleaning</c:v>
                </c:pt>
                <c:pt idx="3">
                  <c:v>Crown</c:v>
                </c:pt>
                <c:pt idx="4">
                  <c:v>Extraction</c:v>
                </c:pt>
                <c:pt idx="5">
                  <c:v>Filling</c:v>
                </c:pt>
                <c:pt idx="6">
                  <c:v>Implants</c:v>
                </c:pt>
                <c:pt idx="7">
                  <c:v>OPD</c:v>
                </c:pt>
                <c:pt idx="8">
                  <c:v>OPD + X-Ray</c:v>
                </c:pt>
                <c:pt idx="9">
                  <c:v>RCT</c:v>
                </c:pt>
              </c:strCache>
            </c:strRef>
          </c:cat>
          <c:val>
            <c:numRef>
              <c:f>'Medical analysis '!$F$3:$F$13</c:f>
              <c:numCache>
                <c:formatCode>General</c:formatCode>
                <c:ptCount val="10"/>
                <c:pt idx="0">
                  <c:v>39</c:v>
                </c:pt>
                <c:pt idx="1">
                  <c:v>44</c:v>
                </c:pt>
                <c:pt idx="2">
                  <c:v>62</c:v>
                </c:pt>
                <c:pt idx="3">
                  <c:v>25</c:v>
                </c:pt>
                <c:pt idx="4">
                  <c:v>30</c:v>
                </c:pt>
                <c:pt idx="5">
                  <c:v>23</c:v>
                </c:pt>
                <c:pt idx="6">
                  <c:v>36</c:v>
                </c:pt>
                <c:pt idx="7">
                  <c:v>305</c:v>
                </c:pt>
                <c:pt idx="8">
                  <c:v>308</c:v>
                </c:pt>
                <c:pt idx="9">
                  <c:v>25</c:v>
                </c:pt>
              </c:numCache>
            </c:numRef>
          </c:val>
          <c:extLst>
            <c:ext xmlns:c16="http://schemas.microsoft.com/office/drawing/2014/chart" uri="{C3380CC4-5D6E-409C-BE32-E72D297353CC}">
              <c16:uniqueId val="{00000014-966F-499F-826C-2D40ABF1C02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final_data_mldc (1).xlsx]performance !PivotTable5</c:name>
    <c:fmtId val="2"/>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606975184439971E-2"/>
              <c:y val="-4.115226337448635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50503018108652"/>
                  <c:h val="7.8127734033245841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84570432017359E-2"/>
              <c:y val="-3.5190615835777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3187573493863672E-17"/>
              <c:y val="-2.7370478983382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2.7370478983382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6375146987727345E-17"/>
              <c:y val="-1.1730205278592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3187573493863672E-17"/>
              <c:y val="-3.1280547409579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'performance '!$D$1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EA1D-4C6D-803C-84FD63489C30}"/>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A1D-4C6D-803C-84FD63489C30}"/>
              </c:ext>
            </c:extLst>
          </c:dPt>
          <c:dLbls>
            <c:dLbl>
              <c:idx val="0"/>
              <c:layout>
                <c:manualLayout>
                  <c:x val="-4.3187573493863672E-17"/>
                  <c:y val="-3.1280547409579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1D-4C6D-803C-84FD63489C30}"/>
                </c:ext>
              </c:extLst>
            </c:dLbl>
            <c:dLbl>
              <c:idx val="1"/>
              <c:layout>
                <c:manualLayout>
                  <c:x val="-8.6375146987727345E-17"/>
                  <c:y val="-1.1730205278592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1D-4C6D-803C-84FD63489C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'!$C$2:$C$4</c:f>
              <c:strCache>
                <c:ptCount val="2"/>
                <c:pt idx="0">
                  <c:v>Dr. Kajal</c:v>
                </c:pt>
                <c:pt idx="1">
                  <c:v>Dr. Karan</c:v>
                </c:pt>
              </c:strCache>
            </c:strRef>
          </c:cat>
          <c:val>
            <c:numRef>
              <c:f>'performance '!$D$2:$D$4</c:f>
              <c:numCache>
                <c:formatCode>General</c:formatCode>
                <c:ptCount val="2"/>
                <c:pt idx="0">
                  <c:v>1336211.2</c:v>
                </c:pt>
                <c:pt idx="1">
                  <c:v>139418.6</c:v>
                </c:pt>
              </c:numCache>
            </c:numRef>
          </c:val>
          <c:extLst>
            <c:ext xmlns:c16="http://schemas.microsoft.com/office/drawing/2014/chart" uri="{C3380CC4-5D6E-409C-BE32-E72D297353CC}">
              <c16:uniqueId val="{00000000-EA1D-4C6D-803C-84FD63489C30}"/>
            </c:ext>
          </c:extLst>
        </c:ser>
        <c:ser>
          <c:idx val="1"/>
          <c:order val="1"/>
          <c:tx>
            <c:strRef>
              <c:f>'performance '!$E$1</c:f>
              <c:strCache>
                <c:ptCount val="1"/>
                <c:pt idx="0">
                  <c:v>Sum of Due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3-EA1D-4C6D-803C-84FD63489C30}"/>
              </c:ext>
            </c:extLst>
          </c:dPt>
          <c:dPt>
            <c:idx val="1"/>
            <c:invertIfNegative val="0"/>
            <c:bubble3D val="0"/>
            <c:extLst>
              <c:ext xmlns:c16="http://schemas.microsoft.com/office/drawing/2014/chart" uri="{C3380CC4-5D6E-409C-BE32-E72D297353CC}">
                <c16:uniqueId val="{00000006-EA1D-4C6D-803C-84FD63489C30}"/>
              </c:ext>
            </c:extLst>
          </c:dPt>
          <c:dLbls>
            <c:dLbl>
              <c:idx val="0"/>
              <c:layout>
                <c:manualLayout>
                  <c:x val="4.5606975184439971E-2"/>
                  <c:y val="-4.115226337448635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50503018108652"/>
                      <c:h val="7.8127734033245841E-2"/>
                    </c:manualLayout>
                  </c15:layout>
                </c:ext>
                <c:ext xmlns:c16="http://schemas.microsoft.com/office/drawing/2014/chart" uri="{C3380CC4-5D6E-409C-BE32-E72D297353CC}">
                  <c16:uniqueId val="{00000003-EA1D-4C6D-803C-84FD63489C30}"/>
                </c:ext>
              </c:extLst>
            </c:dLbl>
            <c:dLbl>
              <c:idx val="1"/>
              <c:layout>
                <c:manualLayout>
                  <c:x val="0"/>
                  <c:y val="-2.73704789833821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1D-4C6D-803C-84FD63489C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'!$C$2:$C$4</c:f>
              <c:strCache>
                <c:ptCount val="2"/>
                <c:pt idx="0">
                  <c:v>Dr. Kajal</c:v>
                </c:pt>
                <c:pt idx="1">
                  <c:v>Dr. Karan</c:v>
                </c:pt>
              </c:strCache>
            </c:strRef>
          </c:cat>
          <c:val>
            <c:numRef>
              <c:f>'performance '!$E$2:$E$4</c:f>
              <c:numCache>
                <c:formatCode>General</c:formatCode>
                <c:ptCount val="2"/>
                <c:pt idx="0">
                  <c:v>61584</c:v>
                </c:pt>
                <c:pt idx="1">
                  <c:v>1197</c:v>
                </c:pt>
              </c:numCache>
            </c:numRef>
          </c:val>
          <c:extLst>
            <c:ext xmlns:c16="http://schemas.microsoft.com/office/drawing/2014/chart" uri="{C3380CC4-5D6E-409C-BE32-E72D297353CC}">
              <c16:uniqueId val="{00000001-EA1D-4C6D-803C-84FD63489C30}"/>
            </c:ext>
          </c:extLst>
        </c:ser>
        <c:ser>
          <c:idx val="2"/>
          <c:order val="2"/>
          <c:tx>
            <c:strRef>
              <c:f>'performance '!$F$1</c:f>
              <c:strCache>
                <c:ptCount val="1"/>
                <c:pt idx="0">
                  <c:v>Sum of Total Paid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A1D-4C6D-803C-84FD63489C30}"/>
              </c:ext>
            </c:extLst>
          </c:dPt>
          <c:dPt>
            <c:idx val="1"/>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EA1D-4C6D-803C-84FD63489C30}"/>
              </c:ext>
            </c:extLst>
          </c:dPt>
          <c:dLbls>
            <c:dLbl>
              <c:idx val="0"/>
              <c:layout>
                <c:manualLayout>
                  <c:x val="-4.3187573493863672E-17"/>
                  <c:y val="-2.7370478983382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1D-4C6D-803C-84FD63489C30}"/>
                </c:ext>
              </c:extLst>
            </c:dLbl>
            <c:dLbl>
              <c:idx val="1"/>
              <c:layout>
                <c:manualLayout>
                  <c:x val="1.884570432017359E-2"/>
                  <c:y val="-3.519061583577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1D-4C6D-803C-84FD63489C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'!$C$2:$C$4</c:f>
              <c:strCache>
                <c:ptCount val="2"/>
                <c:pt idx="0">
                  <c:v>Dr. Kajal</c:v>
                </c:pt>
                <c:pt idx="1">
                  <c:v>Dr. Karan</c:v>
                </c:pt>
              </c:strCache>
            </c:strRef>
          </c:cat>
          <c:val>
            <c:numRef>
              <c:f>'performance '!$F$2:$F$4</c:f>
              <c:numCache>
                <c:formatCode>General</c:formatCode>
                <c:ptCount val="2"/>
                <c:pt idx="0">
                  <c:v>1732211.2</c:v>
                </c:pt>
                <c:pt idx="1">
                  <c:v>163368.6</c:v>
                </c:pt>
              </c:numCache>
            </c:numRef>
          </c:val>
          <c:extLst>
            <c:ext xmlns:c16="http://schemas.microsoft.com/office/drawing/2014/chart" uri="{C3380CC4-5D6E-409C-BE32-E72D297353CC}">
              <c16:uniqueId val="{00000002-EA1D-4C6D-803C-84FD63489C30}"/>
            </c:ext>
          </c:extLst>
        </c:ser>
        <c:dLbls>
          <c:showLegendKey val="0"/>
          <c:showVal val="1"/>
          <c:showCatName val="0"/>
          <c:showSerName val="0"/>
          <c:showPercent val="0"/>
          <c:showBubbleSize val="0"/>
        </c:dLbls>
        <c:gapWidth val="150"/>
        <c:shape val="box"/>
        <c:axId val="592328208"/>
        <c:axId val="592328536"/>
        <c:axId val="589892736"/>
      </c:bar3DChart>
      <c:catAx>
        <c:axId val="592328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328536"/>
        <c:crosses val="autoZero"/>
        <c:auto val="1"/>
        <c:lblAlgn val="ctr"/>
        <c:lblOffset val="100"/>
        <c:noMultiLvlLbl val="0"/>
      </c:catAx>
      <c:valAx>
        <c:axId val="5923285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2328208"/>
        <c:crosses val="autoZero"/>
        <c:crossBetween val="between"/>
      </c:valAx>
      <c:serAx>
        <c:axId val="589892736"/>
        <c:scaling>
          <c:orientation val="minMax"/>
        </c:scaling>
        <c:delete val="1"/>
        <c:axPos val="b"/>
        <c:majorTickMark val="none"/>
        <c:minorTickMark val="none"/>
        <c:tickLblPos val="nextTo"/>
        <c:crossAx val="5923285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final_data_mldc (1).xlsx]patient analysis!PivotTable8</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patient count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analysis'!$D$17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'patient analysis'!$C$18:$C$42</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'patient analysis'!$D$18:$D$42</c:f>
              <c:numCache>
                <c:formatCode>General</c:formatCode>
                <c:ptCount val="24"/>
                <c:pt idx="0">
                  <c:v>49</c:v>
                </c:pt>
                <c:pt idx="1">
                  <c:v>38</c:v>
                </c:pt>
                <c:pt idx="2">
                  <c:v>34</c:v>
                </c:pt>
                <c:pt idx="3">
                  <c:v>42</c:v>
                </c:pt>
                <c:pt idx="4">
                  <c:v>40</c:v>
                </c:pt>
                <c:pt idx="5">
                  <c:v>36</c:v>
                </c:pt>
                <c:pt idx="6">
                  <c:v>33</c:v>
                </c:pt>
                <c:pt idx="7">
                  <c:v>35</c:v>
                </c:pt>
                <c:pt idx="8">
                  <c:v>32</c:v>
                </c:pt>
                <c:pt idx="9">
                  <c:v>41</c:v>
                </c:pt>
                <c:pt idx="10">
                  <c:v>35</c:v>
                </c:pt>
                <c:pt idx="11">
                  <c:v>45</c:v>
                </c:pt>
                <c:pt idx="12">
                  <c:v>50</c:v>
                </c:pt>
                <c:pt idx="13">
                  <c:v>47</c:v>
                </c:pt>
                <c:pt idx="14">
                  <c:v>36</c:v>
                </c:pt>
                <c:pt idx="15">
                  <c:v>34</c:v>
                </c:pt>
                <c:pt idx="16">
                  <c:v>33</c:v>
                </c:pt>
                <c:pt idx="17">
                  <c:v>27</c:v>
                </c:pt>
                <c:pt idx="18">
                  <c:v>30</c:v>
                </c:pt>
                <c:pt idx="19">
                  <c:v>38</c:v>
                </c:pt>
                <c:pt idx="20">
                  <c:v>27</c:v>
                </c:pt>
                <c:pt idx="21">
                  <c:v>34</c:v>
                </c:pt>
                <c:pt idx="22">
                  <c:v>32</c:v>
                </c:pt>
                <c:pt idx="23">
                  <c:v>49</c:v>
                </c:pt>
              </c:numCache>
            </c:numRef>
          </c:val>
          <c:extLst>
            <c:ext xmlns:c16="http://schemas.microsoft.com/office/drawing/2014/chart" uri="{C3380CC4-5D6E-409C-BE32-E72D297353CC}">
              <c16:uniqueId val="{00000000-979F-4F36-B945-BB25CB538A5B}"/>
            </c:ext>
          </c:extLst>
        </c:ser>
        <c:dLbls>
          <c:dLblPos val="inEnd"/>
          <c:showLegendKey val="0"/>
          <c:showVal val="1"/>
          <c:showCatName val="0"/>
          <c:showSerName val="0"/>
          <c:showPercent val="0"/>
          <c:showBubbleSize val="0"/>
        </c:dLbls>
        <c:gapWidth val="41"/>
        <c:axId val="593018504"/>
        <c:axId val="593021784"/>
      </c:barChart>
      <c:catAx>
        <c:axId val="593018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93021784"/>
        <c:crosses val="autoZero"/>
        <c:auto val="1"/>
        <c:lblAlgn val="ctr"/>
        <c:lblOffset val="100"/>
        <c:noMultiLvlLbl val="0"/>
      </c:catAx>
      <c:valAx>
        <c:axId val="593021784"/>
        <c:scaling>
          <c:orientation val="minMax"/>
        </c:scaling>
        <c:delete val="1"/>
        <c:axPos val="l"/>
        <c:numFmt formatCode="General" sourceLinked="1"/>
        <c:majorTickMark val="none"/>
        <c:minorTickMark val="none"/>
        <c:tickLblPos val="nextTo"/>
        <c:crossAx val="593018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76200</xdr:rowOff>
    </xdr:from>
    <xdr:to>
      <xdr:col>2</xdr:col>
      <xdr:colOff>180975</xdr:colOff>
      <xdr:row>20</xdr:row>
      <xdr:rowOff>152400</xdr:rowOff>
    </xdr:to>
    <mc:AlternateContent xmlns:mc="http://schemas.openxmlformats.org/markup-compatibility/2006" xmlns:a14="http://schemas.microsoft.com/office/drawing/2010/main">
      <mc:Choice Requires="a14">
        <xdr:graphicFrame macro="">
          <xdr:nvGraphicFramePr>
            <xdr:cNvPr id="2" name="Consulted By">
              <a:extLst>
                <a:ext uri="{FF2B5EF4-FFF2-40B4-BE49-F238E27FC236}">
                  <a16:creationId xmlns:a16="http://schemas.microsoft.com/office/drawing/2014/main" id="{0452058C-3E39-47EE-94A6-D03F22D17061}"/>
                </a:ext>
              </a:extLst>
            </xdr:cNvPr>
            <xdr:cNvGraphicFramePr/>
          </xdr:nvGraphicFramePr>
          <xdr:xfrm>
            <a:off x="0" y="0"/>
            <a:ext cx="0" cy="0"/>
          </xdr:xfrm>
          <a:graphic>
            <a:graphicData uri="http://schemas.microsoft.com/office/drawing/2010/slicer">
              <sle:slicer xmlns:sle="http://schemas.microsoft.com/office/drawing/2010/slicer" name="Consulted By"/>
            </a:graphicData>
          </a:graphic>
        </xdr:graphicFrame>
      </mc:Choice>
      <mc:Fallback xmlns="">
        <xdr:sp macro="" textlink="">
          <xdr:nvSpPr>
            <xdr:cNvPr id="0" name=""/>
            <xdr:cNvSpPr>
              <a:spLocks noTextEdit="1"/>
            </xdr:cNvSpPr>
          </xdr:nvSpPr>
          <xdr:spPr>
            <a:xfrm>
              <a:off x="0" y="2933700"/>
              <a:ext cx="169545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9525</xdr:rowOff>
    </xdr:from>
    <xdr:to>
      <xdr:col>2</xdr:col>
      <xdr:colOff>161925</xdr:colOff>
      <xdr:row>15</xdr:row>
      <xdr:rowOff>57150</xdr:rowOff>
    </xdr:to>
    <mc:AlternateContent xmlns:mc="http://schemas.openxmlformats.org/markup-compatibility/2006" xmlns:a14="http://schemas.microsoft.com/office/drawing/2010/main">
      <mc:Choice Requires="a14">
        <xdr:graphicFrame macro="">
          <xdr:nvGraphicFramePr>
            <xdr:cNvPr id="3" name="Visit Month">
              <a:extLst>
                <a:ext uri="{FF2B5EF4-FFF2-40B4-BE49-F238E27FC236}">
                  <a16:creationId xmlns:a16="http://schemas.microsoft.com/office/drawing/2014/main" id="{5C4B7D6F-914C-4357-BB17-8024A5EF0157}"/>
                </a:ext>
              </a:extLst>
            </xdr:cNvPr>
            <xdr:cNvGraphicFramePr/>
          </xdr:nvGraphicFramePr>
          <xdr:xfrm>
            <a:off x="0" y="0"/>
            <a:ext cx="0" cy="0"/>
          </xdr:xfrm>
          <a:graphic>
            <a:graphicData uri="http://schemas.microsoft.com/office/drawing/2010/slicer">
              <sle:slicer xmlns:sle="http://schemas.microsoft.com/office/drawing/2010/slicer" name="Visit Month"/>
            </a:graphicData>
          </a:graphic>
        </xdr:graphicFrame>
      </mc:Choice>
      <mc:Fallback xmlns="">
        <xdr:sp macro="" textlink="">
          <xdr:nvSpPr>
            <xdr:cNvPr id="0" name=""/>
            <xdr:cNvSpPr>
              <a:spLocks noTextEdit="1"/>
            </xdr:cNvSpPr>
          </xdr:nvSpPr>
          <xdr:spPr>
            <a:xfrm>
              <a:off x="0" y="390525"/>
              <a:ext cx="16764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333376</xdr:colOff>
      <xdr:row>2</xdr:row>
      <xdr:rowOff>71436</xdr:rowOff>
    </xdr:from>
    <xdr:to>
      <xdr:col>21</xdr:col>
      <xdr:colOff>0</xdr:colOff>
      <xdr:row>18</xdr:row>
      <xdr:rowOff>95249</xdr:rowOff>
    </xdr:to>
    <xdr:graphicFrame macro="">
      <xdr:nvGraphicFramePr>
        <xdr:cNvPr id="2" name="Chart 1">
          <a:extLst>
            <a:ext uri="{FF2B5EF4-FFF2-40B4-BE49-F238E27FC236}">
              <a16:creationId xmlns:a16="http://schemas.microsoft.com/office/drawing/2014/main" id="{C9BB4A22-3647-4C75-9BC9-62D6984B5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21</xdr:row>
      <xdr:rowOff>166687</xdr:rowOff>
    </xdr:from>
    <xdr:to>
      <xdr:col>15</xdr:col>
      <xdr:colOff>1457325</xdr:colOff>
      <xdr:row>39</xdr:row>
      <xdr:rowOff>0</xdr:rowOff>
    </xdr:to>
    <xdr:graphicFrame macro="">
      <xdr:nvGraphicFramePr>
        <xdr:cNvPr id="5" name="Chart 4">
          <a:extLst>
            <a:ext uri="{FF2B5EF4-FFF2-40B4-BE49-F238E27FC236}">
              <a16:creationId xmlns:a16="http://schemas.microsoft.com/office/drawing/2014/main" id="{B2342C0D-8E1B-4FDF-9D49-6BAB81759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333375</xdr:colOff>
      <xdr:row>5</xdr:row>
      <xdr:rowOff>69058</xdr:rowOff>
    </xdr:from>
    <xdr:to>
      <xdr:col>13</xdr:col>
      <xdr:colOff>285750</xdr:colOff>
      <xdr:row>21</xdr:row>
      <xdr:rowOff>150020</xdr:rowOff>
    </xdr:to>
    <xdr:graphicFrame macro="">
      <xdr:nvGraphicFramePr>
        <xdr:cNvPr id="6" name="Chart 5">
          <a:extLst>
            <a:ext uri="{FF2B5EF4-FFF2-40B4-BE49-F238E27FC236}">
              <a16:creationId xmlns:a16="http://schemas.microsoft.com/office/drawing/2014/main" id="{3BB57E36-3730-4CA4-AFE9-3459B426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166688</xdr:rowOff>
    </xdr:from>
    <xdr:to>
      <xdr:col>8</xdr:col>
      <xdr:colOff>523874</xdr:colOff>
      <xdr:row>38</xdr:row>
      <xdr:rowOff>176213</xdr:rowOff>
    </xdr:to>
    <xdr:graphicFrame macro="">
      <xdr:nvGraphicFramePr>
        <xdr:cNvPr id="7" name="Chart 6">
          <a:extLst>
            <a:ext uri="{FF2B5EF4-FFF2-40B4-BE49-F238E27FC236}">
              <a16:creationId xmlns:a16="http://schemas.microsoft.com/office/drawing/2014/main" id="{2B907C13-19F5-4BD5-A100-6D9CAAD7D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142875</xdr:rowOff>
    </xdr:from>
    <xdr:to>
      <xdr:col>7</xdr:col>
      <xdr:colOff>304800</xdr:colOff>
      <xdr:row>22</xdr:row>
      <xdr:rowOff>52387</xdr:rowOff>
    </xdr:to>
    <xdr:graphicFrame macro="">
      <xdr:nvGraphicFramePr>
        <xdr:cNvPr id="8" name="Chart 7">
          <a:extLst>
            <a:ext uri="{FF2B5EF4-FFF2-40B4-BE49-F238E27FC236}">
              <a16:creationId xmlns:a16="http://schemas.microsoft.com/office/drawing/2014/main" id="{7B7473AF-9A04-4390-A265-D9B930CFD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1481137</xdr:colOff>
      <xdr:row>18</xdr:row>
      <xdr:rowOff>76200</xdr:rowOff>
    </xdr:from>
    <xdr:to>
      <xdr:col>18</xdr:col>
      <xdr:colOff>452437</xdr:colOff>
      <xdr:row>31</xdr:row>
      <xdr:rowOff>123825</xdr:rowOff>
    </xdr:to>
    <mc:AlternateContent xmlns:mc="http://schemas.openxmlformats.org/markup-compatibility/2006" xmlns:a14="http://schemas.microsoft.com/office/drawing/2010/main">
      <mc:Choice Requires="a14">
        <xdr:graphicFrame macro="">
          <xdr:nvGraphicFramePr>
            <xdr:cNvPr id="16" name="Consulted By 2">
              <a:extLst>
                <a:ext uri="{FF2B5EF4-FFF2-40B4-BE49-F238E27FC236}">
                  <a16:creationId xmlns:a16="http://schemas.microsoft.com/office/drawing/2014/main" id="{7DA4F6C5-7D32-4F94-82CA-D7AC0A904139}"/>
                </a:ext>
              </a:extLst>
            </xdr:cNvPr>
            <xdr:cNvGraphicFramePr/>
          </xdr:nvGraphicFramePr>
          <xdr:xfrm>
            <a:off x="0" y="0"/>
            <a:ext cx="0" cy="0"/>
          </xdr:xfrm>
          <a:graphic>
            <a:graphicData uri="http://schemas.microsoft.com/office/drawing/2010/slicer">
              <sle:slicer xmlns:sle="http://schemas.microsoft.com/office/drawing/2010/slicer" name="Consulted By 2"/>
            </a:graphicData>
          </a:graphic>
        </xdr:graphicFrame>
      </mc:Choice>
      <mc:Fallback xmlns="">
        <xdr:sp macro="" textlink="">
          <xdr:nvSpPr>
            <xdr:cNvPr id="0" name=""/>
            <xdr:cNvSpPr>
              <a:spLocks noTextEdit="1"/>
            </xdr:cNvSpPr>
          </xdr:nvSpPr>
          <xdr:spPr>
            <a:xfrm>
              <a:off x="10589418" y="3505200"/>
              <a:ext cx="181689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445294</xdr:colOff>
      <xdr:row>18</xdr:row>
      <xdr:rowOff>100013</xdr:rowOff>
    </xdr:from>
    <xdr:to>
      <xdr:col>21</xdr:col>
      <xdr:colOff>428626</xdr:colOff>
      <xdr:row>31</xdr:row>
      <xdr:rowOff>147638</xdr:rowOff>
    </xdr:to>
    <mc:AlternateContent xmlns:mc="http://schemas.openxmlformats.org/markup-compatibility/2006" xmlns:a14="http://schemas.microsoft.com/office/drawing/2010/main">
      <mc:Choice Requires="a14">
        <xdr:graphicFrame macro="">
          <xdr:nvGraphicFramePr>
            <xdr:cNvPr id="17" name="Visit Month 6">
              <a:extLst>
                <a:ext uri="{FF2B5EF4-FFF2-40B4-BE49-F238E27FC236}">
                  <a16:creationId xmlns:a16="http://schemas.microsoft.com/office/drawing/2014/main" id="{F4FC3D1D-AAE3-436D-A980-855D66B15B6D}"/>
                </a:ext>
              </a:extLst>
            </xdr:cNvPr>
            <xdr:cNvGraphicFramePr/>
          </xdr:nvGraphicFramePr>
          <xdr:xfrm>
            <a:off x="0" y="0"/>
            <a:ext cx="0" cy="0"/>
          </xdr:xfrm>
          <a:graphic>
            <a:graphicData uri="http://schemas.microsoft.com/office/drawing/2010/slicer">
              <sle:slicer xmlns:sle="http://schemas.microsoft.com/office/drawing/2010/slicer" name="Visit Month 6"/>
            </a:graphicData>
          </a:graphic>
        </xdr:graphicFrame>
      </mc:Choice>
      <mc:Fallback xmlns="">
        <xdr:sp macro="" textlink="">
          <xdr:nvSpPr>
            <xdr:cNvPr id="0" name=""/>
            <xdr:cNvSpPr>
              <a:spLocks noTextEdit="1"/>
            </xdr:cNvSpPr>
          </xdr:nvSpPr>
          <xdr:spPr>
            <a:xfrm>
              <a:off x="12399169" y="3529013"/>
              <a:ext cx="180498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19050</xdr:colOff>
      <xdr:row>0</xdr:row>
      <xdr:rowOff>9525</xdr:rowOff>
    </xdr:from>
    <xdr:to>
      <xdr:col>9</xdr:col>
      <xdr:colOff>371475</xdr:colOff>
      <xdr:row>13</xdr:row>
      <xdr:rowOff>57150</xdr:rowOff>
    </xdr:to>
    <mc:AlternateContent xmlns:mc="http://schemas.openxmlformats.org/markup-compatibility/2006" xmlns:a14="http://schemas.microsoft.com/office/drawing/2010/main">
      <mc:Choice Requires="a14">
        <xdr:graphicFrame macro="">
          <xdr:nvGraphicFramePr>
            <xdr:cNvPr id="2" name="Visit Month 1">
              <a:extLst>
                <a:ext uri="{FF2B5EF4-FFF2-40B4-BE49-F238E27FC236}">
                  <a16:creationId xmlns:a16="http://schemas.microsoft.com/office/drawing/2014/main" id="{F81823BC-AC0B-463E-851E-BC5280787698}"/>
                </a:ext>
              </a:extLst>
            </xdr:cNvPr>
            <xdr:cNvGraphicFramePr/>
          </xdr:nvGraphicFramePr>
          <xdr:xfrm>
            <a:off x="0" y="0"/>
            <a:ext cx="0" cy="0"/>
          </xdr:xfrm>
          <a:graphic>
            <a:graphicData uri="http://schemas.microsoft.com/office/drawing/2010/slicer">
              <sle:slicer xmlns:sle="http://schemas.microsoft.com/office/drawing/2010/slicer" name="Visit Month 1"/>
            </a:graphicData>
          </a:graphic>
        </xdr:graphicFrame>
      </mc:Choice>
      <mc:Fallback xmlns="">
        <xdr:sp macro="" textlink="">
          <xdr:nvSpPr>
            <xdr:cNvPr id="0" name=""/>
            <xdr:cNvSpPr>
              <a:spLocks noTextEdit="1"/>
            </xdr:cNvSpPr>
          </xdr:nvSpPr>
          <xdr:spPr>
            <a:xfrm>
              <a:off x="8067675"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9525</xdr:rowOff>
    </xdr:from>
    <xdr:to>
      <xdr:col>2</xdr:col>
      <xdr:colOff>114300</xdr:colOff>
      <xdr:row>16</xdr:row>
      <xdr:rowOff>19051</xdr:rowOff>
    </xdr:to>
    <mc:AlternateContent xmlns:mc="http://schemas.openxmlformats.org/markup-compatibility/2006" xmlns:a14="http://schemas.microsoft.com/office/drawing/2010/main">
      <mc:Choice Requires="a14">
        <xdr:graphicFrame macro="">
          <xdr:nvGraphicFramePr>
            <xdr:cNvPr id="2" name="Visit Month 2">
              <a:extLst>
                <a:ext uri="{FF2B5EF4-FFF2-40B4-BE49-F238E27FC236}">
                  <a16:creationId xmlns:a16="http://schemas.microsoft.com/office/drawing/2014/main" id="{D32F6C4D-235A-4FD9-865E-CCE8199280DA}"/>
                </a:ext>
              </a:extLst>
            </xdr:cNvPr>
            <xdr:cNvGraphicFramePr/>
          </xdr:nvGraphicFramePr>
          <xdr:xfrm>
            <a:off x="0" y="0"/>
            <a:ext cx="0" cy="0"/>
          </xdr:xfrm>
          <a:graphic>
            <a:graphicData uri="http://schemas.microsoft.com/office/drawing/2010/slicer">
              <sle:slicer xmlns:sle="http://schemas.microsoft.com/office/drawing/2010/slicer" name="Visit Month 2"/>
            </a:graphicData>
          </a:graphic>
        </xdr:graphicFrame>
      </mc:Choice>
      <mc:Fallback xmlns="">
        <xdr:sp macro="" textlink="">
          <xdr:nvSpPr>
            <xdr:cNvPr id="0" name=""/>
            <xdr:cNvSpPr>
              <a:spLocks noTextEdit="1"/>
            </xdr:cNvSpPr>
          </xdr:nvSpPr>
          <xdr:spPr>
            <a:xfrm>
              <a:off x="0" y="771525"/>
              <a:ext cx="1514475" cy="2295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5</xdr:row>
      <xdr:rowOff>19050</xdr:rowOff>
    </xdr:from>
    <xdr:to>
      <xdr:col>1</xdr:col>
      <xdr:colOff>904875</xdr:colOff>
      <xdr:row>10</xdr:row>
      <xdr:rowOff>47625</xdr:rowOff>
    </xdr:to>
    <mc:AlternateContent xmlns:mc="http://schemas.openxmlformats.org/markup-compatibility/2006" xmlns:a14="http://schemas.microsoft.com/office/drawing/2010/main">
      <mc:Choice Requires="a14">
        <xdr:graphicFrame macro="">
          <xdr:nvGraphicFramePr>
            <xdr:cNvPr id="2" name="Consulted By 1">
              <a:extLst>
                <a:ext uri="{FF2B5EF4-FFF2-40B4-BE49-F238E27FC236}">
                  <a16:creationId xmlns:a16="http://schemas.microsoft.com/office/drawing/2014/main" id="{F3251DF1-4FC6-4316-8C0E-226EB042C410}"/>
                </a:ext>
              </a:extLst>
            </xdr:cNvPr>
            <xdr:cNvGraphicFramePr/>
          </xdr:nvGraphicFramePr>
          <xdr:xfrm>
            <a:off x="0" y="0"/>
            <a:ext cx="0" cy="0"/>
          </xdr:xfrm>
          <a:graphic>
            <a:graphicData uri="http://schemas.microsoft.com/office/drawing/2010/slicer">
              <sle:slicer xmlns:sle="http://schemas.microsoft.com/office/drawing/2010/slicer" name="Consulted By 1"/>
            </a:graphicData>
          </a:graphic>
        </xdr:graphicFrame>
      </mc:Choice>
      <mc:Fallback xmlns="">
        <xdr:sp macro="" textlink="">
          <xdr:nvSpPr>
            <xdr:cNvPr id="0" name=""/>
            <xdr:cNvSpPr>
              <a:spLocks noTextEdit="1"/>
            </xdr:cNvSpPr>
          </xdr:nvSpPr>
          <xdr:spPr>
            <a:xfrm>
              <a:off x="19050" y="97155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0</xdr:row>
      <xdr:rowOff>19050</xdr:rowOff>
    </xdr:from>
    <xdr:to>
      <xdr:col>4</xdr:col>
      <xdr:colOff>800100</xdr:colOff>
      <xdr:row>13</xdr:row>
      <xdr:rowOff>66675</xdr:rowOff>
    </xdr:to>
    <mc:AlternateContent xmlns:mc="http://schemas.openxmlformats.org/markup-compatibility/2006" xmlns:a14="http://schemas.microsoft.com/office/drawing/2010/main">
      <mc:Choice Requires="a14">
        <xdr:graphicFrame macro="">
          <xdr:nvGraphicFramePr>
            <xdr:cNvPr id="3" name="Visit Month 3">
              <a:extLst>
                <a:ext uri="{FF2B5EF4-FFF2-40B4-BE49-F238E27FC236}">
                  <a16:creationId xmlns:a16="http://schemas.microsoft.com/office/drawing/2014/main" id="{4E0988E2-2EAE-4195-9336-B7A704D36317}"/>
                </a:ext>
              </a:extLst>
            </xdr:cNvPr>
            <xdr:cNvGraphicFramePr/>
          </xdr:nvGraphicFramePr>
          <xdr:xfrm>
            <a:off x="0" y="0"/>
            <a:ext cx="0" cy="0"/>
          </xdr:xfrm>
          <a:graphic>
            <a:graphicData uri="http://schemas.microsoft.com/office/drawing/2010/slicer">
              <sle:slicer xmlns:sle="http://schemas.microsoft.com/office/drawing/2010/slicer" name="Visit Month 3"/>
            </a:graphicData>
          </a:graphic>
        </xdr:graphicFrame>
      </mc:Choice>
      <mc:Fallback xmlns="">
        <xdr:sp macro="" textlink="">
          <xdr:nvSpPr>
            <xdr:cNvPr id="0" name=""/>
            <xdr:cNvSpPr>
              <a:spLocks noTextEdit="1"/>
            </xdr:cNvSpPr>
          </xdr:nvSpPr>
          <xdr:spPr>
            <a:xfrm>
              <a:off x="2905125"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1114425</xdr:colOff>
      <xdr:row>7</xdr:row>
      <xdr:rowOff>19050</xdr:rowOff>
    </xdr:from>
    <xdr:to>
      <xdr:col>6</xdr:col>
      <xdr:colOff>657225</xdr:colOff>
      <xdr:row>20</xdr:row>
      <xdr:rowOff>66675</xdr:rowOff>
    </xdr:to>
    <mc:AlternateContent xmlns:mc="http://schemas.openxmlformats.org/markup-compatibility/2006" xmlns:a14="http://schemas.microsoft.com/office/drawing/2010/main">
      <mc:Choice Requires="a14">
        <xdr:graphicFrame macro="">
          <xdr:nvGraphicFramePr>
            <xdr:cNvPr id="4" name="Address">
              <a:extLst>
                <a:ext uri="{FF2B5EF4-FFF2-40B4-BE49-F238E27FC236}">
                  <a16:creationId xmlns:a16="http://schemas.microsoft.com/office/drawing/2014/main" id="{6D57F819-360B-4882-A6A0-A58C2FD934D5}"/>
                </a:ext>
              </a:extLst>
            </xdr:cNvPr>
            <xdr:cNvGraphicFramePr/>
          </xdr:nvGraphicFramePr>
          <xdr:xfrm>
            <a:off x="0" y="0"/>
            <a:ext cx="0" cy="0"/>
          </xdr:xfrm>
          <a:graphic>
            <a:graphicData uri="http://schemas.microsoft.com/office/drawing/2010/slicer">
              <sle:slicer xmlns:sle="http://schemas.microsoft.com/office/drawing/2010/slicer" name="Address"/>
            </a:graphicData>
          </a:graphic>
        </xdr:graphicFrame>
      </mc:Choice>
      <mc:Fallback xmlns="">
        <xdr:sp macro="" textlink="">
          <xdr:nvSpPr>
            <xdr:cNvPr id="0" name=""/>
            <xdr:cNvSpPr>
              <a:spLocks noTextEdit="1"/>
            </xdr:cNvSpPr>
          </xdr:nvSpPr>
          <xdr:spPr>
            <a:xfrm>
              <a:off x="5048250" y="135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4</xdr:row>
      <xdr:rowOff>19050</xdr:rowOff>
    </xdr:from>
    <xdr:to>
      <xdr:col>1</xdr:col>
      <xdr:colOff>1085850</xdr:colOff>
      <xdr:row>17</xdr:row>
      <xdr:rowOff>66675</xdr:rowOff>
    </xdr:to>
    <mc:AlternateContent xmlns:mc="http://schemas.openxmlformats.org/markup-compatibility/2006" xmlns:a14="http://schemas.microsoft.com/office/drawing/2010/main">
      <mc:Choice Requires="a14">
        <xdr:graphicFrame macro="">
          <xdr:nvGraphicFramePr>
            <xdr:cNvPr id="2" name="Visit Month 4">
              <a:extLst>
                <a:ext uri="{FF2B5EF4-FFF2-40B4-BE49-F238E27FC236}">
                  <a16:creationId xmlns:a16="http://schemas.microsoft.com/office/drawing/2014/main" id="{00D05B1C-331E-4622-A023-DE9AFBEF7E04}"/>
                </a:ext>
              </a:extLst>
            </xdr:cNvPr>
            <xdr:cNvGraphicFramePr/>
          </xdr:nvGraphicFramePr>
          <xdr:xfrm>
            <a:off x="0" y="0"/>
            <a:ext cx="0" cy="0"/>
          </xdr:xfrm>
          <a:graphic>
            <a:graphicData uri="http://schemas.microsoft.com/office/drawing/2010/slicer">
              <sle:slicer xmlns:sle="http://schemas.microsoft.com/office/drawing/2010/slicer" name="Visit Month 4"/>
            </a:graphicData>
          </a:graphic>
        </xdr:graphicFrame>
      </mc:Choice>
      <mc:Fallback xmlns="">
        <xdr:sp macro="" textlink="">
          <xdr:nvSpPr>
            <xdr:cNvPr id="0" name=""/>
            <xdr:cNvSpPr>
              <a:spLocks noTextEdit="1"/>
            </xdr:cNvSpPr>
          </xdr:nvSpPr>
          <xdr:spPr>
            <a:xfrm>
              <a:off x="9525" y="78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0</xdr:row>
      <xdr:rowOff>0</xdr:rowOff>
    </xdr:from>
    <xdr:to>
      <xdr:col>5</xdr:col>
      <xdr:colOff>9525</xdr:colOff>
      <xdr:row>13</xdr:row>
      <xdr:rowOff>47625</xdr:rowOff>
    </xdr:to>
    <mc:AlternateContent xmlns:mc="http://schemas.openxmlformats.org/markup-compatibility/2006" xmlns:a14="http://schemas.microsoft.com/office/drawing/2010/main">
      <mc:Choice Requires="a14">
        <xdr:graphicFrame macro="">
          <xdr:nvGraphicFramePr>
            <xdr:cNvPr id="2" name="Visit Month 5">
              <a:extLst>
                <a:ext uri="{FF2B5EF4-FFF2-40B4-BE49-F238E27FC236}">
                  <a16:creationId xmlns:a16="http://schemas.microsoft.com/office/drawing/2014/main" id="{79F35B2A-B443-447C-A721-4D5E8839AA67}"/>
                </a:ext>
              </a:extLst>
            </xdr:cNvPr>
            <xdr:cNvGraphicFramePr/>
          </xdr:nvGraphicFramePr>
          <xdr:xfrm>
            <a:off x="0" y="0"/>
            <a:ext cx="0" cy="0"/>
          </xdr:xfrm>
          <a:graphic>
            <a:graphicData uri="http://schemas.microsoft.com/office/drawing/2010/slicer">
              <sle:slicer xmlns:sle="http://schemas.microsoft.com/office/drawing/2010/slicer" name="Visit Month 5"/>
            </a:graphicData>
          </a:graphic>
        </xdr:graphicFrame>
      </mc:Choice>
      <mc:Fallback xmlns="">
        <xdr:sp macro="" textlink="">
          <xdr:nvSpPr>
            <xdr:cNvPr id="0" name=""/>
            <xdr:cNvSpPr>
              <a:spLocks noTextEdit="1"/>
            </xdr:cNvSpPr>
          </xdr:nvSpPr>
          <xdr:spPr>
            <a:xfrm>
              <a:off x="235267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697735995367" createdVersion="6" refreshedVersion="6" minRefreshableVersion="3" recordCount="897" xr:uid="{F00304E8-F544-44EB-83BA-BFE6AC31CB21}">
  <cacheSource type="worksheet">
    <worksheetSource name="Table2"/>
  </cacheSource>
  <cacheFields count="23">
    <cacheField name="Patient ID" numFmtId="0">
      <sharedItems count="897">
        <s v="MLPT00001"/>
        <s v="MLPT00002"/>
        <s v="MLPT00003"/>
        <s v="MLPT00004"/>
        <s v="MLPT00005"/>
        <s v="MLPT00006"/>
        <s v="MLPT00007"/>
        <s v="MLPT00008"/>
        <s v="MLPT00009"/>
        <s v="MLPT00010"/>
        <s v="MLPT00011"/>
        <s v="MLPT00012"/>
        <s v="MLPT00013"/>
        <s v="MLPT00014"/>
        <s v="MLPT00015"/>
        <s v="MLPT00016"/>
        <s v="MLPT00017"/>
        <s v="MLPT00018"/>
        <s v="MLPT00019"/>
        <s v="MLPT00020"/>
        <s v="MLPT00021"/>
        <s v="MLPT00022"/>
        <s v="MLPT00023"/>
        <s v="MLPT00024"/>
        <s v="MLPT00025"/>
        <s v="MLPT00026"/>
        <s v="MLPT00027"/>
        <s v="MLPT00028"/>
        <s v="MLPT00029"/>
        <s v="MLPT00030"/>
        <s v="MLPT00031"/>
        <s v="MLPT00032"/>
        <s v="MLPT00033"/>
        <s v="MLPT00034"/>
        <s v="MLPT00035"/>
        <s v="MLPT00036"/>
        <s v="MLPT00037"/>
        <s v="MLPT00038"/>
        <s v="MLPT00039"/>
        <s v="MLPT00040"/>
        <s v="MLPT00041"/>
        <s v="MLPT00042"/>
        <s v="MLPT00043"/>
        <s v="MLPT00044"/>
        <s v="MLPT00045"/>
        <s v="MLPT00046"/>
        <s v="MLPT00047"/>
        <s v="MLPT00048"/>
        <s v="MLPT00049"/>
        <s v="MLPT00050"/>
        <s v="MLPT00051"/>
        <s v="MLPT00052"/>
        <s v="MLPT00053"/>
        <s v="MLPT00054"/>
        <s v="MLPT00055"/>
        <s v="MLPT00056"/>
        <s v="MLPT00057"/>
        <s v="MLPT00058"/>
        <s v="MLPT00059"/>
        <s v="MLPT00060"/>
        <s v="MLPT00061"/>
        <s v="MLPT00062"/>
        <s v="MLPT00063"/>
        <s v="MLPT00064"/>
        <s v="MLPT00065"/>
        <s v="MLPT00066"/>
        <s v="MLPT00067"/>
        <s v="MLPT00068"/>
        <s v="MLPT00069"/>
        <s v="MLPT00070"/>
        <s v="MLPT00071"/>
        <s v="MLPT00072"/>
        <s v="MLPT00073"/>
        <s v="MLPT00074"/>
        <s v="MLPT00075"/>
        <s v="MLPT00076"/>
        <s v="MLPT00077"/>
        <s v="MLPT00078"/>
        <s v="MLPT00079"/>
        <s v="MLPT00080"/>
        <s v="MLPT00081"/>
        <s v="MLPT00082"/>
        <s v="MLPT00083"/>
        <s v="MLPT00084"/>
        <s v="MLPT00085"/>
        <s v="MLPT00086"/>
        <s v="MLPT00087"/>
        <s v="MLPT00088"/>
        <s v="MLPT00089"/>
        <s v="MLPT00090"/>
        <s v="MLPT00091"/>
        <s v="MLPT00092"/>
        <s v="MLPT00093"/>
        <s v="MLPT00094"/>
        <s v="MLPT00095"/>
        <s v="MLPT00096"/>
        <s v="MLPT00097"/>
        <s v="MLPT00098"/>
        <s v="MLPT00099"/>
        <s v="MLPT00100"/>
        <s v="MLPT00101"/>
        <s v="MLPT00102"/>
        <s v="MLPT00103"/>
        <s v="MLPT00104"/>
        <s v="MLPT00105"/>
        <s v="MLPT00106"/>
        <s v="MLPT00107"/>
        <s v="MLPT00108"/>
        <s v="MLPT00109"/>
        <s v="MLPT00110"/>
        <s v="MLPT00111"/>
        <s v="MLPT00112"/>
        <s v="MLPT00113"/>
        <s v="MLPT00114"/>
        <s v="MLPT00115"/>
        <s v="MLPT00116"/>
        <s v="MLPT00117"/>
        <s v="MLPT00118"/>
        <s v="MLPT00119"/>
        <s v="MLPT00120"/>
        <s v="MLPT00121"/>
        <s v="MLPT00122"/>
        <s v="MLPT00123"/>
        <s v="MLPT00124"/>
        <s v="MLPT00125"/>
        <s v="MLPT00126"/>
        <s v="MLPT00127"/>
        <s v="MLPT00128"/>
        <s v="MLPT00129"/>
        <s v="MLPT00130"/>
        <s v="MLPT00131"/>
        <s v="MLPT00132"/>
        <s v="MLPT00133"/>
        <s v="MLPT00134"/>
        <s v="MLPT00135"/>
        <s v="MLPT00136"/>
        <s v="MLPT00137"/>
        <s v="MLPT00138"/>
        <s v="MLPT00139"/>
        <s v="MLPT00140"/>
        <s v="MLPT00141"/>
        <s v="MLPT00142"/>
        <s v="MLPT00143"/>
        <s v="MLPT00144"/>
        <s v="MLPT00145"/>
        <s v="MLPT00146"/>
        <s v="MLPT00147"/>
        <s v="MLPT00148"/>
        <s v="MLPT00149"/>
        <s v="MLPT00150"/>
        <s v="MLPT00151"/>
        <s v="MLPT00152"/>
        <s v="MLPT00153"/>
        <s v="MLPT00154"/>
        <s v="MLPT00155"/>
        <s v="MLPT00156"/>
        <s v="MLPT00157"/>
        <s v="MLPT00158"/>
        <s v="MLPT00159"/>
        <s v="MLPT00160"/>
        <s v="MLPT00161"/>
        <s v="MLPT00162"/>
        <s v="MLPT00163"/>
        <s v="MLPT00164"/>
        <s v="MLPT00165"/>
        <s v="MLPT00166"/>
        <s v="MLPT00167"/>
        <s v="MLPT00168"/>
        <s v="MLPT00169"/>
        <s v="MLPT00170"/>
        <s v="MLPT00171"/>
        <s v="MLPT00172"/>
        <s v="MLPT00173"/>
        <s v="MLPT00174"/>
        <s v="MLPT00175"/>
        <s v="MLPT00176"/>
        <s v="MLPT00177"/>
        <s v="MLPT00178"/>
        <s v="MLPT00179"/>
        <s v="MLPT00180"/>
        <s v="MLPT00181"/>
        <s v="MLPT00182"/>
        <s v="MLPT00183"/>
        <s v="MLPT00184"/>
        <s v="MLPT00185"/>
        <s v="MLPT00186"/>
        <s v="MLPT00187"/>
        <s v="MLPT00188"/>
        <s v="MLPT00189"/>
        <s v="MLPT00190"/>
        <s v="MLPT00191"/>
        <s v="MLPT00192"/>
        <s v="MLPT00193"/>
        <s v="MLPT00194"/>
        <s v="MLPT00195"/>
        <s v="MLPT00196"/>
        <s v="MLPT00197"/>
        <s v="MLPT00198"/>
        <s v="MLPT00199"/>
        <s v="MLPT00200"/>
        <s v="MLPT00201"/>
        <s v="MLPT00202"/>
        <s v="MLPT00203"/>
        <s v="MLPT00204"/>
        <s v="MLPT00205"/>
        <s v="MLPT00206"/>
        <s v="MLPT00207"/>
        <s v="MLPT00208"/>
        <s v="MLPT00209"/>
        <s v="MLPT00210"/>
        <s v="MLPT00211"/>
        <s v="MLPT00212"/>
        <s v="MLPT00213"/>
        <s v="MLPT00214"/>
        <s v="MLPT00215"/>
        <s v="MLPT00216"/>
        <s v="MLPT00217"/>
        <s v="MLPT00218"/>
        <s v="MLPT00219"/>
        <s v="MLPT00220"/>
        <s v="MLPT00221"/>
        <s v="MLPT00222"/>
        <s v="MLPT00223"/>
        <s v="MLPT00224"/>
        <s v="MLPT00225"/>
        <s v="MLPT00226"/>
        <s v="MLPT00227"/>
        <s v="MLPT00228"/>
        <s v="MLPT00229"/>
        <s v="MLPT00230"/>
        <s v="MLPT00231"/>
        <s v="MLPT00232"/>
        <s v="MLPT00233"/>
        <s v="MLPT00234"/>
        <s v="MLPT00235"/>
        <s v="MLPT00236"/>
        <s v="MLPT00237"/>
        <s v="MLPT00238"/>
        <s v="MLPT00239"/>
        <s v="MLPT00240"/>
        <s v="MLPT00241"/>
        <s v="MLPT00242"/>
        <s v="MLPT00243"/>
        <s v="MLPT00244"/>
        <s v="MLPT00245"/>
        <s v="MLPT00246"/>
        <s v="MLPT00247"/>
        <s v="MLPT00248"/>
        <s v="MLPT00249"/>
        <s v="MLPT00250"/>
        <s v="MLPT00251"/>
        <s v="MLPT00252"/>
        <s v="MLPT00253"/>
        <s v="MLPT00254"/>
        <s v="MLPT00255"/>
        <s v="MLPT00256"/>
        <s v="MLPT00257"/>
        <s v="MLPT00258"/>
        <s v="MLPT00259"/>
        <s v="MLPT00260"/>
        <s v="MLPT00261"/>
        <s v="MLPT00262"/>
        <s v="MLPT00263"/>
        <s v="MLPT00264"/>
        <s v="MLPT00265"/>
        <s v="MLPT00266"/>
        <s v="MLPT00267"/>
        <s v="MLPT00268"/>
        <s v="MLPT00269"/>
        <s v="MLPT00270"/>
        <s v="MLPT00271"/>
        <s v="MLPT00272"/>
        <s v="MLPT00273"/>
        <s v="MLPT00274"/>
        <s v="MLPT00275"/>
        <s v="MLPT00276"/>
        <s v="MLPT00277"/>
        <s v="MLPT00278"/>
        <s v="MLPT00279"/>
        <s v="MLPT00280"/>
        <s v="MLPT00281"/>
        <s v="MLPT00282"/>
        <s v="MLPT00283"/>
        <s v="MLPT00284"/>
        <s v="MLPT00285"/>
        <s v="MLPT00286"/>
        <s v="MLPT00287"/>
        <s v="MLPT00288"/>
        <s v="MLPT00289"/>
        <s v="MLPT00290"/>
        <s v="MLPT00291"/>
        <s v="MLPT00292"/>
        <s v="MLPT00293"/>
        <s v="MLPT00294"/>
        <s v="MLPT00295"/>
        <s v="MLPT00296"/>
        <s v="MLPT00297"/>
        <s v="MLPT00298"/>
        <s v="MLPT00299"/>
        <s v="MLPT00300"/>
        <s v="MLPT00301"/>
        <s v="MLPT00302"/>
        <s v="MLPT00303"/>
        <s v="MLPT00304"/>
        <s v="MLPT00305"/>
        <s v="MLPT00306"/>
        <s v="MLPT00307"/>
        <s v="MLPT00308"/>
        <s v="MLPT00309"/>
        <s v="MLPT00310"/>
        <s v="MLPT00311"/>
        <s v="MLPT00312"/>
        <s v="MLPT00313"/>
        <s v="MLPT00314"/>
        <s v="MLPT00315"/>
        <s v="MLPT00316"/>
        <s v="MLPT00317"/>
        <s v="MLPT00318"/>
        <s v="MLPT00319"/>
        <s v="MLPT00320"/>
        <s v="MLPT00321"/>
        <s v="MLPT00322"/>
        <s v="MLPT00323"/>
        <s v="MLPT00324"/>
        <s v="MLPT00325"/>
        <s v="MLPT00326"/>
        <s v="MLPT00327"/>
        <s v="MLPT00328"/>
        <s v="MLPT00329"/>
        <s v="MLPT00330"/>
        <s v="MLPT00331"/>
        <s v="MLPT00332"/>
        <s v="MLPT00333"/>
        <s v="MLPT00334"/>
        <s v="MLPT00335"/>
        <s v="MLPT00336"/>
        <s v="MLPT00337"/>
        <s v="MLPT00338"/>
        <s v="MLPT00339"/>
        <s v="MLPT00340"/>
        <s v="MLPT00341"/>
        <s v="MLPT00342"/>
        <s v="MLPT00343"/>
        <s v="MLPT00344"/>
        <s v="MLPT00345"/>
        <s v="MLPT00346"/>
        <s v="MLPT00347"/>
        <s v="MLPT00348"/>
        <s v="MLPT00349"/>
        <s v="MLPT00350"/>
        <s v="MLPT00351"/>
        <s v="MLPT00352"/>
        <s v="MLPT00353"/>
        <s v="MLPT00354"/>
        <s v="MLPT00355"/>
        <s v="MLPT00356"/>
        <s v="MLPT00357"/>
        <s v="MLPT00358"/>
        <s v="MLPT00359"/>
        <s v="MLPT00360"/>
        <s v="MLPT00361"/>
        <s v="MLPT00362"/>
        <s v="MLPT00363"/>
        <s v="MLPT00364"/>
        <s v="MLPT00365"/>
        <s v="MLPT00366"/>
        <s v="MLPT00367"/>
        <s v="MLPT00368"/>
        <s v="MLPT00369"/>
        <s v="MLPT00370"/>
        <s v="MLPT00371"/>
        <s v="MLPT00372"/>
        <s v="MLPT00373"/>
        <s v="MLPT00374"/>
        <s v="MLPT00375"/>
        <s v="MLPT00376"/>
        <s v="MLPT00377"/>
        <s v="MLPT00378"/>
        <s v="MLPT00379"/>
        <s v="MLPT00380"/>
        <s v="MLPT00381"/>
        <s v="MLPT00382"/>
        <s v="MLPT00383"/>
        <s v="MLPT00384"/>
        <s v="MLPT00385"/>
        <s v="MLPT00386"/>
        <s v="MLPT00387"/>
        <s v="MLPT00388"/>
        <s v="MLPT00389"/>
        <s v="MLPT00390"/>
        <s v="MLPT00391"/>
        <s v="MLPT00392"/>
        <s v="MLPT00393"/>
        <s v="MLPT00394"/>
        <s v="MLPT00395"/>
        <s v="MLPT00396"/>
        <s v="MLPT00397"/>
        <s v="MLPT00398"/>
        <s v="MLPT00399"/>
        <s v="MLPT00400"/>
        <s v="MLPT00401"/>
        <s v="MLPT00402"/>
        <s v="MLPT00403"/>
        <s v="MLPT00404"/>
        <s v="MLPT00405"/>
        <s v="MLPT00406"/>
        <s v="MLPT00407"/>
        <s v="MLPT00408"/>
        <s v="MLPT00409"/>
        <s v="MLPT00410"/>
        <s v="MLPT00411"/>
        <s v="MLPT00412"/>
        <s v="MLPT00413"/>
        <s v="MLPT00414"/>
        <s v="MLPT00415"/>
        <s v="MLPT00416"/>
        <s v="MLPT00417"/>
        <s v="MLPT00418"/>
        <s v="MLPT00419"/>
        <s v="MLPT00420"/>
        <s v="MLPT00421"/>
        <s v="MLPT00422"/>
        <s v="MLPT00423"/>
        <s v="MLPT00424"/>
        <s v="MLPT00425"/>
        <s v="MLPT00426"/>
        <s v="MLPT00427"/>
        <s v="MLPT00428"/>
        <s v="MLPT00429"/>
        <s v="MLPT00430"/>
        <s v="MLPT00431"/>
        <s v="MLPT00432"/>
        <s v="MLPT00433"/>
        <s v="MLPT00434"/>
        <s v="MLPT00435"/>
        <s v="MLPT00436"/>
        <s v="MLPT00437"/>
        <s v="MLPT00438"/>
        <s v="MLPT00439"/>
        <s v="MLPT00440"/>
        <s v="MLPT00441"/>
        <s v="MLPT00442"/>
        <s v="MLPT00443"/>
        <s v="MLPT00444"/>
        <s v="MLPT00445"/>
        <s v="MLPT00446"/>
        <s v="MLPT00447"/>
        <s v="MLPT00448"/>
        <s v="MLPT00449"/>
        <s v="MLPT00450"/>
        <s v="MLPT00451"/>
        <s v="MLPT00452"/>
        <s v="MLPT00453"/>
        <s v="MLPT00454"/>
        <s v="MLPT00455"/>
        <s v="MLPT00456"/>
        <s v="MLPT00457"/>
        <s v="MLPT00458"/>
        <s v="MLPT00459"/>
        <s v="MLPT00460"/>
        <s v="MLPT00461"/>
        <s v="MLPT00462"/>
        <s v="MLPT00463"/>
        <s v="MLPT00464"/>
        <s v="MLPT00465"/>
        <s v="MLPT00466"/>
        <s v="MLPT00467"/>
        <s v="MLPT00468"/>
        <s v="MLPT00469"/>
        <s v="MLPT00470"/>
        <s v="MLPT00471"/>
        <s v="MLPT00472"/>
        <s v="MLPT00473"/>
        <s v="MLPT00474"/>
        <s v="MLPT00475"/>
        <s v="MLPT00476"/>
        <s v="MLPT00477"/>
        <s v="MLPT00478"/>
        <s v="MLPT00479"/>
        <s v="MLPT00480"/>
        <s v="MLPT00481"/>
        <s v="MLPT00482"/>
        <s v="MLPT00483"/>
        <s v="MLPT00484"/>
        <s v="MLPT00485"/>
        <s v="MLPT00486"/>
        <s v="MLPT00487"/>
        <s v="MLPT00488"/>
        <s v="MLPT00489"/>
        <s v="MLPT00490"/>
        <s v="MLPT00491"/>
        <s v="MLPT00492"/>
        <s v="MLPT00493"/>
        <s v="MLPT00494"/>
        <s v="MLPT00495"/>
        <s v="MLPT00496"/>
        <s v="MLPT00497"/>
        <s v="MLPT00498"/>
        <s v="MLPT00499"/>
        <s v="MLPT00500"/>
        <s v="MLPT00501"/>
        <s v="MLPT00502"/>
        <s v="MLPT00503"/>
        <s v="MLPT00504"/>
        <s v="MLPT00505"/>
        <s v="MLPT00506"/>
        <s v="MLPT00507"/>
        <s v="MLPT00508"/>
        <s v="MLPT00509"/>
        <s v="MLPT00510"/>
        <s v="MLPT00511"/>
        <s v="MLPT00512"/>
        <s v="MLPT00513"/>
        <s v="MLPT00514"/>
        <s v="MLPT00515"/>
        <s v="MLPT00516"/>
        <s v="MLPT00517"/>
        <s v="MLPT00518"/>
        <s v="MLPT00519"/>
        <s v="MLPT00520"/>
        <s v="MLPT00521"/>
        <s v="MLPT00522"/>
        <s v="MLPT00523"/>
        <s v="MLPT00524"/>
        <s v="MLPT00525"/>
        <s v="MLPT00526"/>
        <s v="MLPT00527"/>
        <s v="MLPT00528"/>
        <s v="MLPT00529"/>
        <s v="MLPT00530"/>
        <s v="MLPT00531"/>
        <s v="MLPT00532"/>
        <s v="MLPT00533"/>
        <s v="MLPT00534"/>
        <s v="MLPT00535"/>
        <s v="MLPT00536"/>
        <s v="MLPT00537"/>
        <s v="MLPT00538"/>
        <s v="MLPT00539"/>
        <s v="MLPT00540"/>
        <s v="MLPT00541"/>
        <s v="MLPT00542"/>
        <s v="MLPT00543"/>
        <s v="MLPT00544"/>
        <s v="MLPT00545"/>
        <s v="MLPT00546"/>
        <s v="MLPT00547"/>
        <s v="MLPT00548"/>
        <s v="MLPT00549"/>
        <s v="MLPT00550"/>
        <s v="MLPT00551"/>
        <s v="MLPT00552"/>
        <s v="MLPT00553"/>
        <s v="MLPT00554"/>
        <s v="MLPT00555"/>
        <s v="MLPT00556"/>
        <s v="MLPT00557"/>
        <s v="MLPT00558"/>
        <s v="MLPT00559"/>
        <s v="MLPT00560"/>
        <s v="MLPT00561"/>
        <s v="MLPT00562"/>
        <s v="MLPT00563"/>
        <s v="MLPT00564"/>
        <s v="MLPT00565"/>
        <s v="MLPT00566"/>
        <s v="MLPT00567"/>
        <s v="MLPT00568"/>
        <s v="MLPT00569"/>
        <s v="MLPT00570"/>
        <s v="MLPT00571"/>
        <s v="MLPT00572"/>
        <s v="MLPT00573"/>
        <s v="MLPT00574"/>
        <s v="MLPT00575"/>
        <s v="MLPT00576"/>
        <s v="MLPT00577"/>
        <s v="MLPT00578"/>
        <s v="MLPT00579"/>
        <s v="MLPT00580"/>
        <s v="MLPT00581"/>
        <s v="MLPT00582"/>
        <s v="MLPT00583"/>
        <s v="MLPT00584"/>
        <s v="MLPT00585"/>
        <s v="MLPT00586"/>
        <s v="MLPT00587"/>
        <s v="MLPT00588"/>
        <s v="MLPT00589"/>
        <s v="MLPT00590"/>
        <s v="MLPT00591"/>
        <s v="MLPT00592"/>
        <s v="MLPT00593"/>
        <s v="MLPT00594"/>
        <s v="MLPT00595"/>
        <s v="MLPT00596"/>
        <s v="MLPT00597"/>
        <s v="MLPT00598"/>
        <s v="MLPT00599"/>
        <s v="MLPT00600"/>
        <s v="MLPT00601"/>
        <s v="MLPT00602"/>
        <s v="MLPT00603"/>
        <s v="MLPT00604"/>
        <s v="MLPT00605"/>
        <s v="MLPT00606"/>
        <s v="MLPT00607"/>
        <s v="MLPT00608"/>
        <s v="MLPT00609"/>
        <s v="MLPT00610"/>
        <s v="MLPT00611"/>
        <s v="MLPT00612"/>
        <s v="MLPT00613"/>
        <s v="MLPT00614"/>
        <s v="MLPT00615"/>
        <s v="MLPT00616"/>
        <s v="MLPT00617"/>
        <s v="MLPT00618"/>
        <s v="MLPT00619"/>
        <s v="MLPT00620"/>
        <s v="MLPT00621"/>
        <s v="MLPT00622"/>
        <s v="MLPT00623"/>
        <s v="MLPT00624"/>
        <s v="MLPT00625"/>
        <s v="MLPT00626"/>
        <s v="MLPT00627"/>
        <s v="MLPT00628"/>
        <s v="MLPT00629"/>
        <s v="MLPT00630"/>
        <s v="MLPT00631"/>
        <s v="MLPT00632"/>
        <s v="MLPT00633"/>
        <s v="MLPT00634"/>
        <s v="MLPT00635"/>
        <s v="MLPT00636"/>
        <s v="MLPT00637"/>
        <s v="MLPT00638"/>
        <s v="MLPT00639"/>
        <s v="MLPT00640"/>
        <s v="MLPT00641"/>
        <s v="MLPT00642"/>
        <s v="MLPT00643"/>
        <s v="MLPT00644"/>
        <s v="MLPT00645"/>
        <s v="MLPT00646"/>
        <s v="MLPT00647"/>
        <s v="MLPT00648"/>
        <s v="MLPT00649"/>
        <s v="MLPT00650"/>
        <s v="MLPT00651"/>
        <s v="MLPT00652"/>
        <s v="MLPT00653"/>
        <s v="MLPT00654"/>
        <s v="MLPT00655"/>
        <s v="MLPT00656"/>
        <s v="MLPT00657"/>
        <s v="MLPT00658"/>
        <s v="MLPT00659"/>
        <s v="MLPT00660"/>
        <s v="MLPT00661"/>
        <s v="MLPT00662"/>
        <s v="MLPT00663"/>
        <s v="MLPT00664"/>
        <s v="MLPT00665"/>
        <s v="MLPT00666"/>
        <s v="MLPT00667"/>
        <s v="MLPT00668"/>
        <s v="MLPT00669"/>
        <s v="MLPT00670"/>
        <s v="MLPT00671"/>
        <s v="MLPT00672"/>
        <s v="MLPT00673"/>
        <s v="MLPT00674"/>
        <s v="MLPT00675"/>
        <s v="MLPT00676"/>
        <s v="MLPT00677"/>
        <s v="MLPT00678"/>
        <s v="MLPT00679"/>
        <s v="MLPT00680"/>
        <s v="MLPT00681"/>
        <s v="MLPT00682"/>
        <s v="MLPT00683"/>
        <s v="MLPT00684"/>
        <s v="MLPT00685"/>
        <s v="MLPT00686"/>
        <s v="MLPT00687"/>
        <s v="MLPT00688"/>
        <s v="MLPT00689"/>
        <s v="MLPT00690"/>
        <s v="MLPT00691"/>
        <s v="MLPT00692"/>
        <s v="MLPT00693"/>
        <s v="MLPT00694"/>
        <s v="MLPT00695"/>
        <s v="MLPT00696"/>
        <s v="MLPT00697"/>
        <s v="MLPT00698"/>
        <s v="MLPT00699"/>
        <s v="MLPT00700"/>
        <s v="MLPT00701"/>
        <s v="MLPT00702"/>
        <s v="MLPT00703"/>
        <s v="MLPT00704"/>
        <s v="MLPT00705"/>
        <s v="MLPT00706"/>
        <s v="MLPT00707"/>
        <s v="MLPT00708"/>
        <s v="MLPT00709"/>
        <s v="MLPT00710"/>
        <s v="MLPT00711"/>
        <s v="MLPT00712"/>
        <s v="MLPT00713"/>
        <s v="MLPT00714"/>
        <s v="MLPT00715"/>
        <s v="MLPT00716"/>
        <s v="MLPT00717"/>
        <s v="MLPT00718"/>
        <s v="MLPT00719"/>
        <s v="MLPT00720"/>
        <s v="MLPT00721"/>
        <s v="MLPT00722"/>
        <s v="MLPT00723"/>
        <s v="MLPT00724"/>
        <s v="MLPT00725"/>
        <s v="MLPT00726"/>
        <s v="MLPT00727"/>
        <s v="MLPT00728"/>
        <s v="MLPT00729"/>
        <s v="MLPT00730"/>
        <s v="MLPT00731"/>
        <s v="MLPT00732"/>
        <s v="MLPT00733"/>
        <s v="MLPT00734"/>
        <s v="MLPT00735"/>
        <s v="MLPT00736"/>
        <s v="MLPT00737"/>
        <s v="MLPT00738"/>
        <s v="MLPT00739"/>
        <s v="MLPT00740"/>
        <s v="MLPT00741"/>
        <s v="MLPT00742"/>
        <s v="MLPT00743"/>
        <s v="MLPT00744"/>
        <s v="MLPT00745"/>
        <s v="MLPT00746"/>
        <s v="MLPT00747"/>
        <s v="MLPT00748"/>
        <s v="MLPT00749"/>
        <s v="MLPT00750"/>
        <s v="MLPT00751"/>
        <s v="MLPT00752"/>
        <s v="MLPT00753"/>
        <s v="MLPT00754"/>
        <s v="MLPT00755"/>
        <s v="MLPT00756"/>
        <s v="MLPT00757"/>
        <s v="MLPT00758"/>
        <s v="MLPT00759"/>
        <s v="MLPT00760"/>
        <s v="MLPT00761"/>
        <s v="MLPT00762"/>
        <s v="MLPT00763"/>
        <s v="MLPT00764"/>
        <s v="MLPT00765"/>
        <s v="MLPT00766"/>
        <s v="MLPT00767"/>
        <s v="MLPT00768"/>
        <s v="MLPT00769"/>
        <s v="MLPT00770"/>
        <s v="MLPT00771"/>
        <s v="MLPT00772"/>
        <s v="MLPT00773"/>
        <s v="MLPT00774"/>
        <s v="MLPT00775"/>
        <s v="MLPT00776"/>
        <s v="MLPT00777"/>
        <s v="MLPT00778"/>
        <s v="MLPT00779"/>
        <s v="MLPT00780"/>
        <s v="MLPT00781"/>
        <s v="MLPT00782"/>
        <s v="MLPT00783"/>
        <s v="MLPT00784"/>
        <s v="MLPT00785"/>
        <s v="MLPT00786"/>
        <s v="MLPT00787"/>
        <s v="MLPT00788"/>
        <s v="MLPT00789"/>
        <s v="MLPT00790"/>
        <s v="MLPT00791"/>
        <s v="MLPT00792"/>
        <s v="MLPT00793"/>
        <s v="MLPT00794"/>
        <s v="MLPT00795"/>
        <s v="MLPT00796"/>
        <s v="MLPT00797"/>
        <s v="MLPT00798"/>
        <s v="MLPT00799"/>
        <s v="MLPT00800"/>
        <s v="MLPT00801"/>
        <s v="MLPT00802"/>
        <s v="MLPT00803"/>
        <s v="MLPT00804"/>
        <s v="MLPT00805"/>
        <s v="MLPT00806"/>
        <s v="MLPT00807"/>
        <s v="MLPT00808"/>
        <s v="MLPT00809"/>
        <s v="MLPT00810"/>
        <s v="MLPT00811"/>
        <s v="MLPT00812"/>
        <s v="MLPT00813"/>
        <s v="MLPT00814"/>
        <s v="MLPT00815"/>
        <s v="MLPT00816"/>
        <s v="MLPT00817"/>
        <s v="MLPT00818"/>
        <s v="MLPT00819"/>
        <s v="MLPT00820"/>
        <s v="MLPT00821"/>
        <s v="MLPT00822"/>
        <s v="MLPT00823"/>
        <s v="MLPT00824"/>
        <s v="MLPT00825"/>
        <s v="MLPT00826"/>
        <s v="MLPT00827"/>
        <s v="MLPT00828"/>
        <s v="MLPT00829"/>
        <s v="MLPT00830"/>
        <s v="MLPT00831"/>
        <s v="MLPT00832"/>
        <s v="MLPT00833"/>
        <s v="MLPT00834"/>
        <s v="MLPT00835"/>
        <s v="MLPT00836"/>
        <s v="MLPT00837"/>
        <s v="MLPT00838"/>
        <s v="MLPT00839"/>
        <s v="MLPT00840"/>
        <s v="MLPT00841"/>
        <s v="MLPT00842"/>
        <s v="MLPT00843"/>
        <s v="MLPT00844"/>
        <s v="MLPT00845"/>
        <s v="MLPT00846"/>
        <s v="MLPT00847"/>
        <s v="MLPT00848"/>
        <s v="MLPT00849"/>
        <s v="MLPT00850"/>
        <s v="MLPT00851"/>
        <s v="MLPT00852"/>
        <s v="MLPT00853"/>
        <s v="MLPT00854"/>
        <s v="MLPT00855"/>
        <s v="MLPT00856"/>
        <s v="MLPT00857"/>
        <s v="MLPT00858"/>
        <s v="MLPT00859"/>
        <s v="MLPT00860"/>
        <s v="MLPT00861"/>
        <s v="MLPT00862"/>
        <s v="MLPT00863"/>
        <s v="MLPT00864"/>
        <s v="MLPT00865"/>
        <s v="MLPT00866"/>
        <s v="MLPT00867"/>
        <s v="MLPT00868"/>
        <s v="MLPT00869"/>
        <s v="MLPT00870"/>
        <s v="MLPT00871"/>
        <s v="MLPT00872"/>
        <s v="MLPT00873"/>
        <s v="MLPT00874"/>
        <s v="MLPT00875"/>
        <s v="MLPT00876"/>
        <s v="MLPT00877"/>
        <s v="MLPT00878"/>
        <s v="MLPT00879"/>
        <s v="MLPT00880"/>
        <s v="MLPT00881"/>
        <s v="MLPT00882"/>
        <s v="MLPT00883"/>
        <s v="MLPT00884"/>
        <s v="MLPT00885"/>
        <s v="MLPT00886"/>
        <s v="MLPT00887"/>
        <s v="MLPT00888"/>
        <s v="MLPT00889"/>
        <s v="MLPT00890"/>
        <s v="MLPT00891"/>
        <s v="MLPT00892"/>
        <s v="MLPT00893"/>
        <s v="MLPT00894"/>
        <s v="MLPT00895"/>
        <s v="MLPT00896"/>
        <s v="MLPT00897"/>
      </sharedItems>
    </cacheField>
    <cacheField name="Patient Name" numFmtId="0">
      <sharedItems count="90">
        <s v="Ngozi Okoro"/>
        <s v="Chinedu Eze"/>
        <s v="Fatima Bello"/>
        <s v="Emeka Nwafor"/>
        <s v="Adewale Adeyemi"/>
        <s v="Jagdish Prasad"/>
        <s v="Aisha Khan"/>
        <s v="Raghav Singh"/>
        <s v="Naina Gupta"/>
        <s v="Poonam Devi"/>
        <s v="Kajal Singh"/>
        <s v="Gia Patel"/>
        <s v="Manoj Kumar"/>
        <s v="Misha Sharma"/>
        <s v="Ishaan Chauhan"/>
        <s v="Aarav Sharma"/>
        <s v="Diya Sharma"/>
        <s v="Rishi Yadav"/>
        <s v="Uday Singh"/>
        <s v="Ronit Sharma"/>
        <s v="Suhani Yadav"/>
        <s v="Anaya Gupta"/>
        <s v="Kabir Singh"/>
        <s v="Arnav Gupta"/>
        <s v="Vanya Gupta"/>
        <s v="Pranav Kumar"/>
        <s v="Uma Sharma"/>
        <s v="Riya Kumar"/>
        <s v="Siya Verma"/>
        <s v="Vivaan Sharma"/>
        <s v="Hitesh Gupta"/>
        <s v="Jia Verma"/>
        <s v="Harsh Malik"/>
        <s v="Saisha Singh"/>
        <s v="Zeeshan Khan"/>
        <s v="Vandana Gupta"/>
        <s v="Avani Yadav"/>
        <s v="Lata Sharma"/>
        <s v="Bhavya Jain"/>
        <s v="Urvi Sharma"/>
        <s v="Kiara Jain"/>
        <s v="Nikita Sharma"/>
        <s v="Shalini Jain"/>
        <s v="Aditi Sharma"/>
        <s v="Akshat Kumar"/>
        <s v="Megha Gupta"/>
        <s v="Aradhya Verma"/>
        <s v="Kishan Lal"/>
        <s v="Sahil Gupta"/>
        <s v="Ayush Verma"/>
        <s v="Manav Jain"/>
        <s v="Anika Patel"/>
        <s v="Bharat Singh"/>
        <s v="Dinesh Verma"/>
        <s v="Omkar Singh"/>
        <s v="Tanay Kumar"/>
        <s v="Ritu Singh"/>
        <s v="Gagan Bansal"/>
        <s v="Eesha Gupta"/>
        <s v="Narendra Pal"/>
        <s v="Charu Devi"/>
        <s v="Chetan Sharma"/>
        <s v="Parth Patel"/>
        <s v="Akshara Singh"/>
        <s v="Lakshay Sharma"/>
        <s v="Reyansh Verma"/>
        <s v="Yash Jain"/>
        <s v="Om Prakash"/>
        <s v="Girish Yadav"/>
        <s v="Heena Kumari"/>
        <s v="Sandeep Gupta"/>
        <s v="Kaira Yadav"/>
        <s v="Sakshi Yadav"/>
        <s v="Pawan Kumar"/>
        <s v="Dhruv Jain"/>
        <s v="Advait Singh"/>
        <s v="Jatin Kumar"/>
        <s v="Ishita Singh"/>
        <s v="Tanu Verma"/>
        <s v="Naman Gupta"/>
        <s v="Rakesh Sharma"/>
        <s v="Hansika Kumar"/>
        <s v="Ankit Kumar"/>
        <s v="Deepa Sharma"/>
        <s v="Aryan Patel"/>
        <s v="Pihu Patel"/>
        <s v="Tanisha Jain"/>
        <s v="Tarun Kumar"/>
        <s v="Samar Patel"/>
        <s v="Devansh Yadav"/>
      </sharedItems>
    </cacheField>
    <cacheField name="Gender" numFmtId="0">
      <sharedItems count="2">
        <s v="Female"/>
        <s v="Male"/>
      </sharedItems>
    </cacheField>
    <cacheField name="Age" numFmtId="0">
      <sharedItems containsSemiMixedTypes="0" containsString="0" containsNumber="1" containsInteger="1" minValue="5" maxValue="80" count="76">
        <n v="54"/>
        <n v="73"/>
        <n v="57"/>
        <n v="16"/>
        <n v="67"/>
        <n v="13"/>
        <n v="30"/>
        <n v="80"/>
        <n v="53"/>
        <n v="65"/>
        <n v="36"/>
        <n v="43"/>
        <n v="48"/>
        <n v="59"/>
        <n v="62"/>
        <n v="68"/>
        <n v="47"/>
        <n v="45"/>
        <n v="23"/>
        <n v="72"/>
        <n v="70"/>
        <n v="35"/>
        <n v="49"/>
        <n v="55"/>
        <n v="79"/>
        <n v="60"/>
        <n v="22"/>
        <n v="66"/>
        <n v="46"/>
        <n v="6"/>
        <n v="24"/>
        <n v="76"/>
        <n v="20"/>
        <n v="64"/>
        <n v="5"/>
        <n v="33"/>
        <n v="27"/>
        <n v="52"/>
        <n v="41"/>
        <n v="14"/>
        <n v="37"/>
        <n v="32"/>
        <n v="69"/>
        <n v="9"/>
        <n v="40"/>
        <n v="74"/>
        <n v="8"/>
        <n v="10"/>
        <n v="78"/>
        <n v="28"/>
        <n v="50"/>
        <n v="51"/>
        <n v="56"/>
        <n v="75"/>
        <n v="42"/>
        <n v="29"/>
        <n v="26"/>
        <n v="21"/>
        <n v="19"/>
        <n v="58"/>
        <n v="34"/>
        <n v="11"/>
        <n v="39"/>
        <n v="12"/>
        <n v="38"/>
        <n v="7"/>
        <n v="31"/>
        <n v="15"/>
        <n v="25"/>
        <n v="61"/>
        <n v="71"/>
        <n v="17"/>
        <n v="18"/>
        <n v="63"/>
        <n v="77"/>
        <n v="44"/>
      </sharedItems>
    </cacheField>
    <cacheField name="Visit Date" numFmtId="0">
      <sharedItems containsDate="1" containsMixedTypes="1" minDate="2023-01-02T00:00:00" maxDate="2024-12-10T00:00:00"/>
    </cacheField>
    <cacheField name="Address" numFmtId="0">
      <sharedItems count="14">
        <s v="Janakpuri"/>
        <s v="Vikas Puri"/>
        <s v="Tilak Nagar"/>
        <s v="Paschim Vihar"/>
        <s v="Hari Nagar"/>
        <s v="Chander Vihar"/>
        <s v="Punjabi Bagh"/>
        <s v="Uttam Nagar"/>
        <s v="Rajouri Garden"/>
        <s v="Fateh Nagar"/>
        <s v="Kirti Nagar"/>
        <s v="Shivaji Enclave"/>
        <s v="Subhash Nagar"/>
        <s v="Dwarka"/>
      </sharedItems>
    </cacheField>
    <cacheField name="Consulted By" numFmtId="0">
      <sharedItems count="2">
        <s v="Dr. Kajal"/>
        <s v="Dr. Karan"/>
      </sharedItems>
    </cacheField>
    <cacheField name="diagnosis" numFmtId="0">
      <sharedItems count="10">
        <s v="Gingivitis"/>
        <s v="Dental examination with radiology"/>
        <s v="Dental caries"/>
        <s v="Dental examination"/>
        <s v="Cosmetic procedure"/>
        <s v="Loss of teeth"/>
        <s v="Missing teeth"/>
        <s v="Malocclusion"/>
        <s v="Pulpitis"/>
        <s v="Retained dental root"/>
      </sharedItems>
    </cacheField>
    <cacheField name="Treatment" numFmtId="0">
      <sharedItems count="10">
        <s v="Cleaning"/>
        <s v="OPD + X-Ray"/>
        <s v="Filling"/>
        <s v="OPD"/>
        <s v="Bleaching"/>
        <s v="Extraction"/>
        <s v="Implants"/>
        <s v="Braces"/>
        <s v="RCT"/>
        <s v="Crown"/>
      </sharedItems>
    </cacheField>
    <cacheField name="icd10 code" numFmtId="0">
      <sharedItems count="8">
        <s v="K05.10"/>
        <s v="Z01.2"/>
        <s v="K02.9"/>
        <s v="Z41.1"/>
        <s v="K08.1"/>
        <s v="K07.4"/>
        <s v="K04.0"/>
        <s v="K08.3"/>
      </sharedItems>
    </cacheField>
    <cacheField name="Dental Camp" numFmtId="0">
      <sharedItems/>
    </cacheField>
    <cacheField name="X-Ray Done" numFmtId="0">
      <sharedItems count="2">
        <s v="No"/>
        <s v="Yes"/>
      </sharedItems>
    </cacheField>
    <cacheField name="Patient Type" numFmtId="0">
      <sharedItems count="3">
        <s v="First Visit"/>
        <s v="Referral"/>
        <s v="Walk-in"/>
      </sharedItems>
    </cacheField>
    <cacheField name="Treatment Cost" numFmtId="0">
      <sharedItems containsSemiMixedTypes="0" containsString="0" containsNumber="1" containsInteger="1" minValue="0" maxValue="29029"/>
    </cacheField>
    <cacheField name="X-Ray Cost" numFmtId="0">
      <sharedItems containsSemiMixedTypes="0" containsString="0" containsNumber="1" containsInteger="1" minValue="0" maxValue="150"/>
    </cacheField>
    <cacheField name="OPD Cost" numFmtId="0">
      <sharedItems containsSemiMixedTypes="0" containsString="0" containsNumber="1" containsInteger="1" minValue="0" maxValue="200"/>
    </cacheField>
    <cacheField name="Lab Charges" numFmtId="0">
      <sharedItems containsSemiMixedTypes="0" containsString="0" containsNumber="1" containsInteger="1" minValue="0" maxValue="9160"/>
    </cacheField>
    <cacheField name="Discount" numFmtId="0">
      <sharedItems containsSemiMixedTypes="0" containsString="0" containsNumber="1" minValue="0" maxValue="1500"/>
    </cacheField>
    <cacheField name="Total Paid" numFmtId="0">
      <sharedItems containsSemiMixedTypes="0" containsString="0" containsNumber="1" minValue="0" maxValue="29029"/>
    </cacheField>
    <cacheField name="Due" numFmtId="0">
      <sharedItems containsSemiMixedTypes="0" containsString="0" containsNumber="1" containsInteger="1" minValue="0" maxValue="9201"/>
    </cacheField>
    <cacheField name="Profit" numFmtId="0">
      <sharedItems containsSemiMixedTypes="0" containsString="0" containsNumber="1" minValue="0" maxValue="22007"/>
    </cacheField>
    <cacheField name="Payment Method" numFmtId="0">
      <sharedItems count="4">
        <s v="Online Transfer"/>
        <s v="Cash"/>
        <s v="Card"/>
        <s v="UPI"/>
      </sharedItems>
    </cacheField>
    <cacheField name="Visit Month" numFmtId="164">
      <sharedItems count="24">
        <s v="2023-01"/>
        <s v="2023-02"/>
        <s v="2023-03"/>
        <s v="2023-04"/>
        <s v="2023-05"/>
        <s v="2023-06"/>
        <s v="2023-07"/>
        <s v="2023-08"/>
        <s v="2023-09"/>
        <s v="2023-10"/>
        <s v="2023-11"/>
        <s v="2023-12"/>
        <s v="2024-01"/>
        <s v="2024-02"/>
        <s v="2024-03"/>
        <s v="2024-04"/>
        <s v="2024-05"/>
        <s v="2024-06"/>
        <s v="2024-07"/>
        <s v="2024-08"/>
        <s v="2024-09"/>
        <s v="2024-10"/>
        <s v="2024-11"/>
        <s v="2024-12"/>
      </sharedItems>
    </cacheField>
  </cacheFields>
  <extLst>
    <ext xmlns:x14="http://schemas.microsoft.com/office/spreadsheetml/2009/9/main" uri="{725AE2AE-9491-48be-B2B4-4EB974FC3084}">
      <x14:pivotCacheDefinition pivotCacheId="573209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7">
  <r>
    <x v="0"/>
    <x v="0"/>
    <x v="0"/>
    <x v="0"/>
    <d v="2023-02-01T00:00:00"/>
    <x v="0"/>
    <x v="0"/>
    <x v="0"/>
    <x v="0"/>
    <x v="0"/>
    <s v="No"/>
    <x v="0"/>
    <x v="0"/>
    <n v="411"/>
    <n v="0"/>
    <n v="0"/>
    <n v="0"/>
    <n v="0"/>
    <n v="411"/>
    <n v="0"/>
    <n v="411"/>
    <x v="0"/>
    <x v="0"/>
  </r>
  <r>
    <x v="1"/>
    <x v="1"/>
    <x v="1"/>
    <x v="1"/>
    <d v="2023-02-01T00:00:00"/>
    <x v="1"/>
    <x v="1"/>
    <x v="1"/>
    <x v="1"/>
    <x v="1"/>
    <s v="No"/>
    <x v="1"/>
    <x v="0"/>
    <n v="0"/>
    <n v="150"/>
    <n v="200"/>
    <n v="0"/>
    <n v="0"/>
    <n v="350"/>
    <n v="0"/>
    <n v="350"/>
    <x v="0"/>
    <x v="0"/>
  </r>
  <r>
    <x v="2"/>
    <x v="2"/>
    <x v="0"/>
    <x v="2"/>
    <d v="2023-03-01T00:00:00"/>
    <x v="1"/>
    <x v="1"/>
    <x v="2"/>
    <x v="2"/>
    <x v="2"/>
    <s v="No"/>
    <x v="0"/>
    <x v="0"/>
    <n v="1068"/>
    <n v="0"/>
    <n v="0"/>
    <n v="0"/>
    <n v="0"/>
    <n v="1068"/>
    <n v="0"/>
    <n v="1068"/>
    <x v="1"/>
    <x v="0"/>
  </r>
  <r>
    <x v="3"/>
    <x v="3"/>
    <x v="1"/>
    <x v="1"/>
    <d v="2023-03-01T00:00:00"/>
    <x v="1"/>
    <x v="1"/>
    <x v="3"/>
    <x v="3"/>
    <x v="1"/>
    <s v="No"/>
    <x v="0"/>
    <x v="1"/>
    <n v="0"/>
    <n v="0"/>
    <n v="200"/>
    <n v="0"/>
    <n v="80"/>
    <n v="120"/>
    <n v="0"/>
    <n v="120"/>
    <x v="2"/>
    <x v="0"/>
  </r>
  <r>
    <x v="4"/>
    <x v="4"/>
    <x v="1"/>
    <x v="3"/>
    <d v="2023-03-01T00:00:00"/>
    <x v="2"/>
    <x v="1"/>
    <x v="3"/>
    <x v="3"/>
    <x v="1"/>
    <s v="No"/>
    <x v="0"/>
    <x v="0"/>
    <n v="0"/>
    <n v="0"/>
    <n v="200"/>
    <n v="0"/>
    <n v="0"/>
    <n v="200"/>
    <n v="0"/>
    <n v="200"/>
    <x v="3"/>
    <x v="0"/>
  </r>
  <r>
    <x v="5"/>
    <x v="5"/>
    <x v="1"/>
    <x v="2"/>
    <d v="2023-04-01T00:00:00"/>
    <x v="3"/>
    <x v="0"/>
    <x v="4"/>
    <x v="4"/>
    <x v="3"/>
    <s v="No"/>
    <x v="1"/>
    <x v="0"/>
    <n v="1602"/>
    <n v="0"/>
    <n v="0"/>
    <n v="0"/>
    <n v="0"/>
    <n v="1602"/>
    <n v="0"/>
    <n v="1602"/>
    <x v="1"/>
    <x v="0"/>
  </r>
  <r>
    <x v="6"/>
    <x v="6"/>
    <x v="0"/>
    <x v="4"/>
    <d v="2023-04-01T00:00:00"/>
    <x v="2"/>
    <x v="0"/>
    <x v="4"/>
    <x v="4"/>
    <x v="3"/>
    <s v="No"/>
    <x v="1"/>
    <x v="0"/>
    <n v="1653"/>
    <n v="0"/>
    <n v="0"/>
    <n v="0"/>
    <n v="0"/>
    <n v="1653"/>
    <n v="0"/>
    <n v="1653"/>
    <x v="3"/>
    <x v="0"/>
  </r>
  <r>
    <x v="7"/>
    <x v="7"/>
    <x v="1"/>
    <x v="4"/>
    <d v="2023-05-01T00:00:00"/>
    <x v="4"/>
    <x v="1"/>
    <x v="1"/>
    <x v="1"/>
    <x v="1"/>
    <s v="No"/>
    <x v="1"/>
    <x v="2"/>
    <n v="0"/>
    <n v="150"/>
    <n v="200"/>
    <n v="0"/>
    <n v="0"/>
    <n v="350"/>
    <n v="0"/>
    <n v="350"/>
    <x v="1"/>
    <x v="0"/>
  </r>
  <r>
    <x v="8"/>
    <x v="8"/>
    <x v="0"/>
    <x v="5"/>
    <d v="2023-05-01T00:00:00"/>
    <x v="3"/>
    <x v="0"/>
    <x v="3"/>
    <x v="3"/>
    <x v="1"/>
    <s v="No"/>
    <x v="0"/>
    <x v="0"/>
    <n v="0"/>
    <n v="0"/>
    <n v="200"/>
    <n v="0"/>
    <n v="0"/>
    <n v="200"/>
    <n v="0"/>
    <n v="200"/>
    <x v="0"/>
    <x v="0"/>
  </r>
  <r>
    <x v="9"/>
    <x v="9"/>
    <x v="0"/>
    <x v="6"/>
    <d v="2023-06-01T00:00:00"/>
    <x v="2"/>
    <x v="0"/>
    <x v="1"/>
    <x v="1"/>
    <x v="1"/>
    <s v="No"/>
    <x v="1"/>
    <x v="0"/>
    <n v="0"/>
    <n v="150"/>
    <n v="200"/>
    <n v="0"/>
    <n v="140"/>
    <n v="210"/>
    <n v="0"/>
    <n v="210"/>
    <x v="1"/>
    <x v="0"/>
  </r>
  <r>
    <x v="10"/>
    <x v="10"/>
    <x v="0"/>
    <x v="7"/>
    <d v="2023-06-01T00:00:00"/>
    <x v="2"/>
    <x v="1"/>
    <x v="5"/>
    <x v="5"/>
    <x v="4"/>
    <s v="No"/>
    <x v="1"/>
    <x v="2"/>
    <n v="533"/>
    <n v="0"/>
    <n v="0"/>
    <n v="0"/>
    <n v="200"/>
    <n v="333"/>
    <n v="0"/>
    <n v="333"/>
    <x v="3"/>
    <x v="0"/>
  </r>
  <r>
    <x v="11"/>
    <x v="11"/>
    <x v="0"/>
    <x v="1"/>
    <d v="2023-07-01T00:00:00"/>
    <x v="2"/>
    <x v="0"/>
    <x v="3"/>
    <x v="3"/>
    <x v="1"/>
    <s v="No"/>
    <x v="0"/>
    <x v="2"/>
    <n v="0"/>
    <n v="0"/>
    <n v="200"/>
    <n v="0"/>
    <n v="0"/>
    <n v="200"/>
    <n v="0"/>
    <n v="200"/>
    <x v="1"/>
    <x v="0"/>
  </r>
  <r>
    <x v="12"/>
    <x v="10"/>
    <x v="0"/>
    <x v="8"/>
    <d v="2023-07-01T00:00:00"/>
    <x v="2"/>
    <x v="0"/>
    <x v="3"/>
    <x v="3"/>
    <x v="1"/>
    <s v="No"/>
    <x v="0"/>
    <x v="0"/>
    <n v="0"/>
    <n v="0"/>
    <n v="200"/>
    <n v="0"/>
    <n v="0"/>
    <n v="200"/>
    <n v="0"/>
    <n v="200"/>
    <x v="3"/>
    <x v="0"/>
  </r>
  <r>
    <x v="13"/>
    <x v="12"/>
    <x v="1"/>
    <x v="9"/>
    <d v="2023-09-01T00:00:00"/>
    <x v="1"/>
    <x v="0"/>
    <x v="1"/>
    <x v="1"/>
    <x v="1"/>
    <s v="No"/>
    <x v="1"/>
    <x v="0"/>
    <n v="0"/>
    <n v="150"/>
    <n v="200"/>
    <n v="0"/>
    <n v="140"/>
    <n v="210"/>
    <n v="0"/>
    <n v="210"/>
    <x v="1"/>
    <x v="0"/>
  </r>
  <r>
    <x v="14"/>
    <x v="13"/>
    <x v="0"/>
    <x v="10"/>
    <d v="2023-11-01T00:00:00"/>
    <x v="2"/>
    <x v="0"/>
    <x v="1"/>
    <x v="1"/>
    <x v="1"/>
    <s v="No"/>
    <x v="1"/>
    <x v="2"/>
    <n v="0"/>
    <n v="150"/>
    <n v="200"/>
    <n v="0"/>
    <n v="0"/>
    <n v="350"/>
    <n v="0"/>
    <n v="350"/>
    <x v="2"/>
    <x v="0"/>
  </r>
  <r>
    <x v="15"/>
    <x v="14"/>
    <x v="1"/>
    <x v="11"/>
    <d v="2023-11-01T00:00:00"/>
    <x v="1"/>
    <x v="0"/>
    <x v="6"/>
    <x v="6"/>
    <x v="4"/>
    <s v="No"/>
    <x v="1"/>
    <x v="0"/>
    <n v="26320"/>
    <n v="0"/>
    <n v="0"/>
    <n v="8930"/>
    <n v="0"/>
    <n v="26320"/>
    <n v="0"/>
    <n v="17390"/>
    <x v="3"/>
    <x v="0"/>
  </r>
  <r>
    <x v="16"/>
    <x v="15"/>
    <x v="1"/>
    <x v="12"/>
    <d v="2023-11-01T00:00:00"/>
    <x v="2"/>
    <x v="1"/>
    <x v="1"/>
    <x v="1"/>
    <x v="1"/>
    <s v="No"/>
    <x v="1"/>
    <x v="0"/>
    <n v="0"/>
    <n v="150"/>
    <n v="200"/>
    <n v="0"/>
    <n v="50"/>
    <n v="300"/>
    <n v="0"/>
    <n v="300"/>
    <x v="3"/>
    <x v="0"/>
  </r>
  <r>
    <x v="17"/>
    <x v="16"/>
    <x v="0"/>
    <x v="13"/>
    <d v="2023-12-01T00:00:00"/>
    <x v="1"/>
    <x v="0"/>
    <x v="0"/>
    <x v="0"/>
    <x v="0"/>
    <s v="No"/>
    <x v="1"/>
    <x v="1"/>
    <n v="413"/>
    <n v="0"/>
    <n v="0"/>
    <n v="0"/>
    <n v="0"/>
    <n v="413"/>
    <n v="0"/>
    <n v="413"/>
    <x v="1"/>
    <x v="0"/>
  </r>
  <r>
    <x v="18"/>
    <x v="17"/>
    <x v="1"/>
    <x v="14"/>
    <d v="2023-12-01T00:00:00"/>
    <x v="2"/>
    <x v="0"/>
    <x v="1"/>
    <x v="1"/>
    <x v="1"/>
    <s v="No"/>
    <x v="1"/>
    <x v="0"/>
    <n v="0"/>
    <n v="150"/>
    <n v="200"/>
    <n v="0"/>
    <n v="140"/>
    <n v="210"/>
    <n v="0"/>
    <n v="210"/>
    <x v="0"/>
    <x v="0"/>
  </r>
  <r>
    <x v="19"/>
    <x v="18"/>
    <x v="1"/>
    <x v="1"/>
    <s v="13-01-2023"/>
    <x v="5"/>
    <x v="0"/>
    <x v="7"/>
    <x v="7"/>
    <x v="5"/>
    <s v="No"/>
    <x v="0"/>
    <x v="0"/>
    <n v="16753"/>
    <n v="0"/>
    <n v="0"/>
    <n v="3780"/>
    <n v="1500"/>
    <n v="15253"/>
    <n v="0"/>
    <n v="11473"/>
    <x v="0"/>
    <x v="0"/>
  </r>
  <r>
    <x v="20"/>
    <x v="19"/>
    <x v="1"/>
    <x v="15"/>
    <s v="13-01-2023"/>
    <x v="6"/>
    <x v="0"/>
    <x v="3"/>
    <x v="3"/>
    <x v="1"/>
    <s v="No"/>
    <x v="0"/>
    <x v="0"/>
    <n v="0"/>
    <n v="0"/>
    <n v="200"/>
    <n v="0"/>
    <n v="80"/>
    <n v="120"/>
    <n v="0"/>
    <n v="120"/>
    <x v="2"/>
    <x v="0"/>
  </r>
  <r>
    <x v="21"/>
    <x v="20"/>
    <x v="0"/>
    <x v="16"/>
    <s v="14-01-2023"/>
    <x v="2"/>
    <x v="1"/>
    <x v="1"/>
    <x v="1"/>
    <x v="1"/>
    <s v="No"/>
    <x v="1"/>
    <x v="1"/>
    <n v="0"/>
    <n v="150"/>
    <n v="200"/>
    <n v="0"/>
    <n v="100"/>
    <n v="250"/>
    <n v="0"/>
    <n v="250"/>
    <x v="2"/>
    <x v="0"/>
  </r>
  <r>
    <x v="22"/>
    <x v="20"/>
    <x v="0"/>
    <x v="4"/>
    <s v="14-01-2023"/>
    <x v="5"/>
    <x v="1"/>
    <x v="0"/>
    <x v="0"/>
    <x v="0"/>
    <s v="No"/>
    <x v="0"/>
    <x v="0"/>
    <n v="662"/>
    <n v="0"/>
    <n v="0"/>
    <n v="0"/>
    <n v="264.8"/>
    <n v="397.2"/>
    <n v="0"/>
    <n v="397.2"/>
    <x v="2"/>
    <x v="0"/>
  </r>
  <r>
    <x v="23"/>
    <x v="21"/>
    <x v="0"/>
    <x v="17"/>
    <s v="14-01-2023"/>
    <x v="1"/>
    <x v="0"/>
    <x v="3"/>
    <x v="3"/>
    <x v="1"/>
    <s v="No"/>
    <x v="0"/>
    <x v="0"/>
    <n v="0"/>
    <n v="0"/>
    <n v="200"/>
    <n v="0"/>
    <n v="0"/>
    <n v="200"/>
    <n v="0"/>
    <n v="200"/>
    <x v="2"/>
    <x v="0"/>
  </r>
  <r>
    <x v="24"/>
    <x v="22"/>
    <x v="1"/>
    <x v="18"/>
    <s v="15-01-2023"/>
    <x v="2"/>
    <x v="0"/>
    <x v="3"/>
    <x v="3"/>
    <x v="1"/>
    <s v="No"/>
    <x v="0"/>
    <x v="0"/>
    <n v="0"/>
    <n v="0"/>
    <n v="200"/>
    <n v="0"/>
    <n v="0"/>
    <n v="200"/>
    <n v="0"/>
    <n v="200"/>
    <x v="1"/>
    <x v="0"/>
  </r>
  <r>
    <x v="25"/>
    <x v="23"/>
    <x v="1"/>
    <x v="19"/>
    <s v="15-01-2023"/>
    <x v="7"/>
    <x v="0"/>
    <x v="1"/>
    <x v="1"/>
    <x v="1"/>
    <s v="No"/>
    <x v="1"/>
    <x v="0"/>
    <n v="0"/>
    <n v="150"/>
    <n v="200"/>
    <n v="0"/>
    <n v="0"/>
    <n v="350"/>
    <n v="0"/>
    <n v="350"/>
    <x v="2"/>
    <x v="0"/>
  </r>
  <r>
    <x v="26"/>
    <x v="24"/>
    <x v="0"/>
    <x v="20"/>
    <s v="16-01-2023"/>
    <x v="1"/>
    <x v="0"/>
    <x v="1"/>
    <x v="1"/>
    <x v="1"/>
    <s v="No"/>
    <x v="1"/>
    <x v="0"/>
    <n v="0"/>
    <n v="150"/>
    <n v="200"/>
    <n v="0"/>
    <n v="0"/>
    <n v="350"/>
    <n v="0"/>
    <n v="350"/>
    <x v="1"/>
    <x v="0"/>
  </r>
  <r>
    <x v="27"/>
    <x v="25"/>
    <x v="1"/>
    <x v="16"/>
    <s v="17-01-2023"/>
    <x v="5"/>
    <x v="0"/>
    <x v="8"/>
    <x v="8"/>
    <x v="6"/>
    <s v="No"/>
    <x v="0"/>
    <x v="0"/>
    <n v="3658"/>
    <n v="0"/>
    <n v="0"/>
    <n v="0"/>
    <n v="0"/>
    <n v="3658"/>
    <n v="0"/>
    <n v="3658"/>
    <x v="1"/>
    <x v="0"/>
  </r>
  <r>
    <x v="28"/>
    <x v="26"/>
    <x v="0"/>
    <x v="21"/>
    <s v="17-01-2023"/>
    <x v="4"/>
    <x v="1"/>
    <x v="5"/>
    <x v="5"/>
    <x v="4"/>
    <s v="No"/>
    <x v="1"/>
    <x v="0"/>
    <n v="505"/>
    <n v="0"/>
    <n v="0"/>
    <n v="0"/>
    <n v="0"/>
    <n v="505"/>
    <n v="0"/>
    <n v="505"/>
    <x v="0"/>
    <x v="0"/>
  </r>
  <r>
    <x v="29"/>
    <x v="27"/>
    <x v="0"/>
    <x v="22"/>
    <s v="18-01-2023"/>
    <x v="2"/>
    <x v="1"/>
    <x v="2"/>
    <x v="2"/>
    <x v="2"/>
    <s v="No"/>
    <x v="1"/>
    <x v="0"/>
    <n v="1035"/>
    <n v="0"/>
    <n v="0"/>
    <n v="0"/>
    <n v="414"/>
    <n v="621"/>
    <n v="0"/>
    <n v="621"/>
    <x v="3"/>
    <x v="0"/>
  </r>
  <r>
    <x v="30"/>
    <x v="28"/>
    <x v="0"/>
    <x v="23"/>
    <s v="19-01-2023"/>
    <x v="0"/>
    <x v="1"/>
    <x v="2"/>
    <x v="2"/>
    <x v="2"/>
    <s v="No"/>
    <x v="0"/>
    <x v="0"/>
    <n v="1048"/>
    <n v="0"/>
    <n v="0"/>
    <n v="0"/>
    <n v="0"/>
    <n v="1048"/>
    <n v="0"/>
    <n v="1048"/>
    <x v="3"/>
    <x v="0"/>
  </r>
  <r>
    <x v="31"/>
    <x v="29"/>
    <x v="1"/>
    <x v="24"/>
    <s v="19-01-2023"/>
    <x v="3"/>
    <x v="1"/>
    <x v="5"/>
    <x v="5"/>
    <x v="4"/>
    <s v="No"/>
    <x v="0"/>
    <x v="2"/>
    <n v="949"/>
    <n v="0"/>
    <n v="0"/>
    <n v="0"/>
    <n v="0"/>
    <n v="949"/>
    <n v="0"/>
    <n v="949"/>
    <x v="2"/>
    <x v="0"/>
  </r>
  <r>
    <x v="32"/>
    <x v="24"/>
    <x v="0"/>
    <x v="17"/>
    <s v="20-01-2023"/>
    <x v="2"/>
    <x v="1"/>
    <x v="1"/>
    <x v="1"/>
    <x v="1"/>
    <s v="No"/>
    <x v="1"/>
    <x v="1"/>
    <n v="0"/>
    <n v="150"/>
    <n v="200"/>
    <n v="0"/>
    <n v="0"/>
    <n v="350"/>
    <n v="0"/>
    <n v="350"/>
    <x v="2"/>
    <x v="0"/>
  </r>
  <r>
    <x v="33"/>
    <x v="30"/>
    <x v="1"/>
    <x v="4"/>
    <s v="21-01-2023"/>
    <x v="7"/>
    <x v="0"/>
    <x v="3"/>
    <x v="3"/>
    <x v="1"/>
    <s v="No"/>
    <x v="0"/>
    <x v="0"/>
    <n v="0"/>
    <n v="0"/>
    <n v="200"/>
    <n v="0"/>
    <n v="0"/>
    <n v="200"/>
    <n v="0"/>
    <n v="200"/>
    <x v="3"/>
    <x v="0"/>
  </r>
  <r>
    <x v="34"/>
    <x v="31"/>
    <x v="0"/>
    <x v="19"/>
    <s v="23-01-2023"/>
    <x v="5"/>
    <x v="0"/>
    <x v="7"/>
    <x v="7"/>
    <x v="5"/>
    <s v="No"/>
    <x v="1"/>
    <x v="0"/>
    <n v="14477"/>
    <n v="0"/>
    <n v="0"/>
    <n v="4260"/>
    <n v="0"/>
    <n v="14477"/>
    <n v="0"/>
    <n v="10217"/>
    <x v="3"/>
    <x v="0"/>
  </r>
  <r>
    <x v="35"/>
    <x v="32"/>
    <x v="1"/>
    <x v="25"/>
    <s v="23-01-2023"/>
    <x v="8"/>
    <x v="1"/>
    <x v="3"/>
    <x v="3"/>
    <x v="1"/>
    <s v="No"/>
    <x v="0"/>
    <x v="0"/>
    <n v="0"/>
    <n v="0"/>
    <n v="200"/>
    <n v="0"/>
    <n v="0"/>
    <n v="200"/>
    <n v="0"/>
    <n v="200"/>
    <x v="2"/>
    <x v="0"/>
  </r>
  <r>
    <x v="36"/>
    <x v="16"/>
    <x v="0"/>
    <x v="26"/>
    <s v="25-01-2023"/>
    <x v="5"/>
    <x v="0"/>
    <x v="1"/>
    <x v="1"/>
    <x v="1"/>
    <s v="No"/>
    <x v="1"/>
    <x v="0"/>
    <n v="0"/>
    <n v="150"/>
    <n v="200"/>
    <n v="0"/>
    <n v="0"/>
    <n v="350"/>
    <n v="0"/>
    <n v="350"/>
    <x v="3"/>
    <x v="0"/>
  </r>
  <r>
    <x v="37"/>
    <x v="11"/>
    <x v="0"/>
    <x v="27"/>
    <s v="25-01-2023"/>
    <x v="5"/>
    <x v="0"/>
    <x v="3"/>
    <x v="3"/>
    <x v="1"/>
    <s v="No"/>
    <x v="0"/>
    <x v="0"/>
    <n v="0"/>
    <n v="0"/>
    <n v="200"/>
    <n v="0"/>
    <n v="0"/>
    <n v="200"/>
    <n v="0"/>
    <n v="200"/>
    <x v="1"/>
    <x v="0"/>
  </r>
  <r>
    <x v="38"/>
    <x v="33"/>
    <x v="0"/>
    <x v="5"/>
    <s v="26-01-2023"/>
    <x v="1"/>
    <x v="0"/>
    <x v="3"/>
    <x v="3"/>
    <x v="1"/>
    <s v="No"/>
    <x v="0"/>
    <x v="0"/>
    <n v="0"/>
    <n v="0"/>
    <n v="200"/>
    <n v="0"/>
    <n v="0"/>
    <n v="200"/>
    <n v="0"/>
    <n v="200"/>
    <x v="3"/>
    <x v="0"/>
  </r>
  <r>
    <x v="39"/>
    <x v="23"/>
    <x v="1"/>
    <x v="0"/>
    <s v="26-01-2023"/>
    <x v="2"/>
    <x v="0"/>
    <x v="1"/>
    <x v="1"/>
    <x v="1"/>
    <s v="No"/>
    <x v="1"/>
    <x v="0"/>
    <n v="0"/>
    <n v="150"/>
    <n v="200"/>
    <n v="0"/>
    <n v="0"/>
    <n v="350"/>
    <n v="0"/>
    <n v="350"/>
    <x v="3"/>
    <x v="0"/>
  </r>
  <r>
    <x v="40"/>
    <x v="34"/>
    <x v="1"/>
    <x v="0"/>
    <s v="27-01-2023"/>
    <x v="1"/>
    <x v="0"/>
    <x v="6"/>
    <x v="6"/>
    <x v="4"/>
    <s v="No"/>
    <x v="1"/>
    <x v="2"/>
    <n v="27757"/>
    <n v="0"/>
    <n v="0"/>
    <n v="7170"/>
    <n v="1500"/>
    <n v="26257"/>
    <n v="0"/>
    <n v="19087"/>
    <x v="3"/>
    <x v="0"/>
  </r>
  <r>
    <x v="41"/>
    <x v="35"/>
    <x v="0"/>
    <x v="28"/>
    <s v="27-01-2023"/>
    <x v="2"/>
    <x v="1"/>
    <x v="9"/>
    <x v="9"/>
    <x v="7"/>
    <s v="No"/>
    <x v="1"/>
    <x v="2"/>
    <n v="2455"/>
    <n v="0"/>
    <n v="0"/>
    <n v="860"/>
    <n v="0"/>
    <n v="2455"/>
    <n v="0"/>
    <n v="1595"/>
    <x v="1"/>
    <x v="0"/>
  </r>
  <r>
    <x v="42"/>
    <x v="26"/>
    <x v="0"/>
    <x v="29"/>
    <s v="27-01-2023"/>
    <x v="2"/>
    <x v="0"/>
    <x v="1"/>
    <x v="1"/>
    <x v="1"/>
    <s v="No"/>
    <x v="1"/>
    <x v="1"/>
    <n v="0"/>
    <n v="150"/>
    <n v="200"/>
    <n v="0"/>
    <n v="140"/>
    <n v="210"/>
    <n v="0"/>
    <n v="210"/>
    <x v="1"/>
    <x v="0"/>
  </r>
  <r>
    <x v="43"/>
    <x v="36"/>
    <x v="0"/>
    <x v="30"/>
    <s v="28-01-2023"/>
    <x v="1"/>
    <x v="0"/>
    <x v="7"/>
    <x v="7"/>
    <x v="5"/>
    <s v="No"/>
    <x v="1"/>
    <x v="0"/>
    <n v="19443"/>
    <n v="0"/>
    <n v="0"/>
    <n v="5170"/>
    <n v="300"/>
    <n v="19143"/>
    <n v="0"/>
    <n v="13973"/>
    <x v="3"/>
    <x v="0"/>
  </r>
  <r>
    <x v="44"/>
    <x v="37"/>
    <x v="0"/>
    <x v="19"/>
    <s v="28-01-2023"/>
    <x v="5"/>
    <x v="1"/>
    <x v="3"/>
    <x v="3"/>
    <x v="1"/>
    <s v="No"/>
    <x v="0"/>
    <x v="0"/>
    <n v="0"/>
    <n v="0"/>
    <n v="200"/>
    <n v="0"/>
    <n v="0"/>
    <n v="200"/>
    <n v="0"/>
    <n v="200"/>
    <x v="3"/>
    <x v="0"/>
  </r>
  <r>
    <x v="45"/>
    <x v="32"/>
    <x v="1"/>
    <x v="31"/>
    <s v="30-01-2023"/>
    <x v="1"/>
    <x v="0"/>
    <x v="7"/>
    <x v="7"/>
    <x v="5"/>
    <s v="No"/>
    <x v="1"/>
    <x v="2"/>
    <n v="13112"/>
    <n v="0"/>
    <n v="0"/>
    <n v="2880"/>
    <n v="0"/>
    <n v="13112"/>
    <n v="0"/>
    <n v="10232"/>
    <x v="3"/>
    <x v="0"/>
  </r>
  <r>
    <x v="46"/>
    <x v="21"/>
    <x v="0"/>
    <x v="32"/>
    <s v="30-01-2023"/>
    <x v="5"/>
    <x v="0"/>
    <x v="3"/>
    <x v="3"/>
    <x v="1"/>
    <s v="No"/>
    <x v="0"/>
    <x v="0"/>
    <n v="0"/>
    <n v="0"/>
    <n v="200"/>
    <n v="0"/>
    <n v="80"/>
    <n v="120"/>
    <n v="0"/>
    <n v="120"/>
    <x v="1"/>
    <x v="0"/>
  </r>
  <r>
    <x v="47"/>
    <x v="38"/>
    <x v="0"/>
    <x v="8"/>
    <s v="31-01-2023"/>
    <x v="1"/>
    <x v="0"/>
    <x v="1"/>
    <x v="1"/>
    <x v="1"/>
    <s v="No"/>
    <x v="1"/>
    <x v="0"/>
    <n v="0"/>
    <n v="150"/>
    <n v="200"/>
    <n v="0"/>
    <n v="0"/>
    <n v="350"/>
    <n v="0"/>
    <n v="350"/>
    <x v="3"/>
    <x v="0"/>
  </r>
  <r>
    <x v="48"/>
    <x v="39"/>
    <x v="0"/>
    <x v="33"/>
    <s v="31-01-2023"/>
    <x v="2"/>
    <x v="1"/>
    <x v="3"/>
    <x v="3"/>
    <x v="1"/>
    <s v="No"/>
    <x v="0"/>
    <x v="0"/>
    <n v="0"/>
    <n v="0"/>
    <n v="200"/>
    <n v="0"/>
    <n v="0"/>
    <n v="200"/>
    <n v="0"/>
    <n v="200"/>
    <x v="3"/>
    <x v="0"/>
  </r>
  <r>
    <x v="49"/>
    <x v="40"/>
    <x v="0"/>
    <x v="29"/>
    <d v="2023-01-02T00:00:00"/>
    <x v="2"/>
    <x v="0"/>
    <x v="7"/>
    <x v="7"/>
    <x v="5"/>
    <s v="No"/>
    <x v="1"/>
    <x v="2"/>
    <n v="12112"/>
    <n v="0"/>
    <n v="0"/>
    <n v="3320"/>
    <n v="0"/>
    <n v="12112"/>
    <n v="0"/>
    <n v="8792"/>
    <x v="3"/>
    <x v="1"/>
  </r>
  <r>
    <x v="50"/>
    <x v="30"/>
    <x v="1"/>
    <x v="17"/>
    <d v="2023-02-02T00:00:00"/>
    <x v="2"/>
    <x v="0"/>
    <x v="6"/>
    <x v="6"/>
    <x v="4"/>
    <s v="No"/>
    <x v="1"/>
    <x v="0"/>
    <n v="27115"/>
    <n v="0"/>
    <n v="0"/>
    <n v="9160"/>
    <n v="0"/>
    <n v="27115"/>
    <n v="0"/>
    <n v="17955"/>
    <x v="3"/>
    <x v="1"/>
  </r>
  <r>
    <x v="51"/>
    <x v="9"/>
    <x v="0"/>
    <x v="34"/>
    <d v="2023-02-02T00:00:00"/>
    <x v="5"/>
    <x v="0"/>
    <x v="1"/>
    <x v="1"/>
    <x v="1"/>
    <s v="No"/>
    <x v="1"/>
    <x v="0"/>
    <n v="0"/>
    <n v="150"/>
    <n v="200"/>
    <n v="0"/>
    <n v="0"/>
    <n v="350"/>
    <n v="0"/>
    <n v="350"/>
    <x v="0"/>
    <x v="1"/>
  </r>
  <r>
    <x v="52"/>
    <x v="25"/>
    <x v="1"/>
    <x v="35"/>
    <d v="2023-02-02T00:00:00"/>
    <x v="1"/>
    <x v="1"/>
    <x v="9"/>
    <x v="9"/>
    <x v="7"/>
    <s v="No"/>
    <x v="0"/>
    <x v="0"/>
    <n v="3300"/>
    <n v="0"/>
    <n v="0"/>
    <n v="890"/>
    <n v="0"/>
    <n v="3300"/>
    <n v="0"/>
    <n v="2410"/>
    <x v="3"/>
    <x v="1"/>
  </r>
  <r>
    <x v="53"/>
    <x v="41"/>
    <x v="0"/>
    <x v="0"/>
    <d v="2023-03-02T00:00:00"/>
    <x v="9"/>
    <x v="1"/>
    <x v="0"/>
    <x v="0"/>
    <x v="0"/>
    <s v="No"/>
    <x v="1"/>
    <x v="1"/>
    <n v="689"/>
    <n v="0"/>
    <n v="0"/>
    <n v="0"/>
    <n v="0"/>
    <n v="689"/>
    <n v="0"/>
    <n v="689"/>
    <x v="3"/>
    <x v="1"/>
  </r>
  <r>
    <x v="54"/>
    <x v="15"/>
    <x v="1"/>
    <x v="19"/>
    <d v="2023-03-02T00:00:00"/>
    <x v="4"/>
    <x v="0"/>
    <x v="3"/>
    <x v="3"/>
    <x v="1"/>
    <s v="No"/>
    <x v="0"/>
    <x v="1"/>
    <n v="0"/>
    <n v="0"/>
    <n v="200"/>
    <n v="0"/>
    <n v="0"/>
    <n v="200"/>
    <n v="0"/>
    <n v="200"/>
    <x v="0"/>
    <x v="1"/>
  </r>
  <r>
    <x v="55"/>
    <x v="42"/>
    <x v="0"/>
    <x v="36"/>
    <d v="2023-04-02T00:00:00"/>
    <x v="5"/>
    <x v="0"/>
    <x v="1"/>
    <x v="1"/>
    <x v="1"/>
    <s v="No"/>
    <x v="1"/>
    <x v="2"/>
    <n v="0"/>
    <n v="150"/>
    <n v="200"/>
    <n v="0"/>
    <n v="140"/>
    <n v="210"/>
    <n v="0"/>
    <n v="210"/>
    <x v="3"/>
    <x v="1"/>
  </r>
  <r>
    <x v="56"/>
    <x v="43"/>
    <x v="0"/>
    <x v="28"/>
    <d v="2023-04-02T00:00:00"/>
    <x v="5"/>
    <x v="0"/>
    <x v="0"/>
    <x v="0"/>
    <x v="0"/>
    <s v="No"/>
    <x v="0"/>
    <x v="0"/>
    <n v="417"/>
    <n v="0"/>
    <n v="0"/>
    <n v="0"/>
    <n v="0"/>
    <n v="417"/>
    <n v="0"/>
    <n v="417"/>
    <x v="1"/>
    <x v="1"/>
  </r>
  <r>
    <x v="57"/>
    <x v="38"/>
    <x v="0"/>
    <x v="15"/>
    <d v="2023-07-02T00:00:00"/>
    <x v="8"/>
    <x v="0"/>
    <x v="0"/>
    <x v="0"/>
    <x v="0"/>
    <s v="No"/>
    <x v="1"/>
    <x v="0"/>
    <n v="555"/>
    <n v="0"/>
    <n v="0"/>
    <n v="0"/>
    <n v="0"/>
    <n v="555"/>
    <n v="0"/>
    <n v="555"/>
    <x v="3"/>
    <x v="1"/>
  </r>
  <r>
    <x v="58"/>
    <x v="13"/>
    <x v="0"/>
    <x v="14"/>
    <d v="2023-07-02T00:00:00"/>
    <x v="1"/>
    <x v="0"/>
    <x v="3"/>
    <x v="3"/>
    <x v="1"/>
    <s v="No"/>
    <x v="0"/>
    <x v="0"/>
    <n v="0"/>
    <n v="0"/>
    <n v="200"/>
    <n v="0"/>
    <n v="80"/>
    <n v="120"/>
    <n v="0"/>
    <n v="120"/>
    <x v="3"/>
    <x v="1"/>
  </r>
  <r>
    <x v="59"/>
    <x v="44"/>
    <x v="1"/>
    <x v="17"/>
    <d v="2023-08-02T00:00:00"/>
    <x v="2"/>
    <x v="0"/>
    <x v="3"/>
    <x v="3"/>
    <x v="1"/>
    <s v="No"/>
    <x v="0"/>
    <x v="0"/>
    <n v="0"/>
    <n v="0"/>
    <n v="200"/>
    <n v="0"/>
    <n v="0"/>
    <n v="200"/>
    <n v="0"/>
    <n v="200"/>
    <x v="1"/>
    <x v="1"/>
  </r>
  <r>
    <x v="60"/>
    <x v="19"/>
    <x v="1"/>
    <x v="37"/>
    <d v="2023-08-02T00:00:00"/>
    <x v="7"/>
    <x v="0"/>
    <x v="7"/>
    <x v="7"/>
    <x v="5"/>
    <s v="No"/>
    <x v="1"/>
    <x v="0"/>
    <n v="13305"/>
    <n v="0"/>
    <n v="0"/>
    <n v="2120"/>
    <n v="1500"/>
    <n v="11805"/>
    <n v="0"/>
    <n v="9685"/>
    <x v="3"/>
    <x v="1"/>
  </r>
  <r>
    <x v="61"/>
    <x v="45"/>
    <x v="0"/>
    <x v="18"/>
    <d v="2023-08-02T00:00:00"/>
    <x v="1"/>
    <x v="0"/>
    <x v="0"/>
    <x v="0"/>
    <x v="0"/>
    <s v="No"/>
    <x v="0"/>
    <x v="0"/>
    <n v="492"/>
    <n v="0"/>
    <n v="0"/>
    <n v="0"/>
    <n v="0"/>
    <n v="492"/>
    <n v="0"/>
    <n v="492"/>
    <x v="1"/>
    <x v="1"/>
  </r>
  <r>
    <x v="62"/>
    <x v="46"/>
    <x v="0"/>
    <x v="38"/>
    <d v="2023-09-02T00:00:00"/>
    <x v="1"/>
    <x v="0"/>
    <x v="0"/>
    <x v="0"/>
    <x v="0"/>
    <s v="No"/>
    <x v="1"/>
    <x v="0"/>
    <n v="699"/>
    <n v="0"/>
    <n v="0"/>
    <n v="0"/>
    <n v="279.60000000000002"/>
    <n v="419.4"/>
    <n v="0"/>
    <n v="419.4"/>
    <x v="3"/>
    <x v="1"/>
  </r>
  <r>
    <x v="63"/>
    <x v="47"/>
    <x v="1"/>
    <x v="28"/>
    <d v="2023-10-02T00:00:00"/>
    <x v="2"/>
    <x v="0"/>
    <x v="7"/>
    <x v="7"/>
    <x v="5"/>
    <s v="No"/>
    <x v="0"/>
    <x v="0"/>
    <n v="17062"/>
    <n v="0"/>
    <n v="0"/>
    <n v="4460"/>
    <n v="0"/>
    <n v="17062"/>
    <n v="0"/>
    <n v="12602"/>
    <x v="2"/>
    <x v="1"/>
  </r>
  <r>
    <x v="64"/>
    <x v="48"/>
    <x v="1"/>
    <x v="3"/>
    <d v="2023-10-02T00:00:00"/>
    <x v="2"/>
    <x v="1"/>
    <x v="1"/>
    <x v="1"/>
    <x v="1"/>
    <s v="No"/>
    <x v="1"/>
    <x v="0"/>
    <n v="0"/>
    <n v="150"/>
    <n v="200"/>
    <n v="0"/>
    <n v="0"/>
    <n v="350"/>
    <n v="0"/>
    <n v="350"/>
    <x v="2"/>
    <x v="1"/>
  </r>
  <r>
    <x v="65"/>
    <x v="49"/>
    <x v="1"/>
    <x v="39"/>
    <s v="13-02-2023"/>
    <x v="2"/>
    <x v="0"/>
    <x v="6"/>
    <x v="6"/>
    <x v="4"/>
    <s v="No"/>
    <x v="0"/>
    <x v="0"/>
    <n v="27028"/>
    <n v="0"/>
    <n v="0"/>
    <n v="7950"/>
    <n v="50"/>
    <n v="26978"/>
    <n v="0"/>
    <n v="19028"/>
    <x v="1"/>
    <x v="1"/>
  </r>
  <r>
    <x v="66"/>
    <x v="12"/>
    <x v="1"/>
    <x v="3"/>
    <s v="15-02-2023"/>
    <x v="2"/>
    <x v="1"/>
    <x v="1"/>
    <x v="1"/>
    <x v="1"/>
    <s v="No"/>
    <x v="1"/>
    <x v="0"/>
    <n v="0"/>
    <n v="150"/>
    <n v="200"/>
    <n v="0"/>
    <n v="0"/>
    <n v="350"/>
    <n v="0"/>
    <n v="350"/>
    <x v="1"/>
    <x v="1"/>
  </r>
  <r>
    <x v="67"/>
    <x v="37"/>
    <x v="0"/>
    <x v="23"/>
    <s v="15-02-2023"/>
    <x v="5"/>
    <x v="0"/>
    <x v="4"/>
    <x v="4"/>
    <x v="3"/>
    <s v="No"/>
    <x v="1"/>
    <x v="0"/>
    <n v="1439"/>
    <n v="0"/>
    <n v="0"/>
    <n v="0"/>
    <n v="0"/>
    <n v="1439"/>
    <n v="0"/>
    <n v="1439"/>
    <x v="1"/>
    <x v="1"/>
  </r>
  <r>
    <x v="68"/>
    <x v="50"/>
    <x v="1"/>
    <x v="40"/>
    <s v="16-02-2023"/>
    <x v="2"/>
    <x v="1"/>
    <x v="5"/>
    <x v="5"/>
    <x v="4"/>
    <s v="No"/>
    <x v="1"/>
    <x v="0"/>
    <n v="844"/>
    <n v="0"/>
    <n v="0"/>
    <n v="0"/>
    <n v="0"/>
    <n v="844"/>
    <n v="0"/>
    <n v="844"/>
    <x v="1"/>
    <x v="1"/>
  </r>
  <r>
    <x v="69"/>
    <x v="51"/>
    <x v="0"/>
    <x v="41"/>
    <s v="16-02-2023"/>
    <x v="1"/>
    <x v="0"/>
    <x v="3"/>
    <x v="3"/>
    <x v="1"/>
    <s v="No"/>
    <x v="0"/>
    <x v="0"/>
    <n v="0"/>
    <n v="0"/>
    <n v="200"/>
    <n v="0"/>
    <n v="0"/>
    <n v="200"/>
    <n v="0"/>
    <n v="200"/>
    <x v="3"/>
    <x v="1"/>
  </r>
  <r>
    <x v="70"/>
    <x v="50"/>
    <x v="1"/>
    <x v="37"/>
    <s v="17-02-2023"/>
    <x v="5"/>
    <x v="0"/>
    <x v="6"/>
    <x v="6"/>
    <x v="4"/>
    <s v="No"/>
    <x v="1"/>
    <x v="0"/>
    <n v="22187"/>
    <n v="0"/>
    <n v="0"/>
    <n v="6720"/>
    <n v="0"/>
    <n v="18471"/>
    <n v="3716"/>
    <n v="11751"/>
    <x v="2"/>
    <x v="1"/>
  </r>
  <r>
    <x v="71"/>
    <x v="52"/>
    <x v="1"/>
    <x v="42"/>
    <s v="17-02-2023"/>
    <x v="5"/>
    <x v="1"/>
    <x v="3"/>
    <x v="3"/>
    <x v="1"/>
    <s v="No"/>
    <x v="0"/>
    <x v="1"/>
    <n v="0"/>
    <n v="0"/>
    <n v="200"/>
    <n v="0"/>
    <n v="0"/>
    <n v="200"/>
    <n v="0"/>
    <n v="200"/>
    <x v="3"/>
    <x v="1"/>
  </r>
  <r>
    <x v="72"/>
    <x v="39"/>
    <x v="0"/>
    <x v="2"/>
    <s v="17-02-2023"/>
    <x v="2"/>
    <x v="1"/>
    <x v="3"/>
    <x v="3"/>
    <x v="1"/>
    <s v="No"/>
    <x v="0"/>
    <x v="0"/>
    <n v="0"/>
    <n v="0"/>
    <n v="200"/>
    <n v="0"/>
    <n v="0"/>
    <n v="200"/>
    <n v="0"/>
    <n v="200"/>
    <x v="0"/>
    <x v="1"/>
  </r>
  <r>
    <x v="73"/>
    <x v="53"/>
    <x v="1"/>
    <x v="13"/>
    <s v="18-02-2023"/>
    <x v="1"/>
    <x v="0"/>
    <x v="4"/>
    <x v="4"/>
    <x v="3"/>
    <s v="No"/>
    <x v="1"/>
    <x v="2"/>
    <n v="1781"/>
    <n v="0"/>
    <n v="0"/>
    <n v="0"/>
    <n v="0"/>
    <n v="1781"/>
    <n v="0"/>
    <n v="1781"/>
    <x v="3"/>
    <x v="1"/>
  </r>
  <r>
    <x v="74"/>
    <x v="54"/>
    <x v="1"/>
    <x v="11"/>
    <s v="20-02-2023"/>
    <x v="5"/>
    <x v="0"/>
    <x v="8"/>
    <x v="8"/>
    <x v="6"/>
    <s v="No"/>
    <x v="1"/>
    <x v="0"/>
    <n v="2960"/>
    <n v="0"/>
    <n v="0"/>
    <n v="0"/>
    <n v="0"/>
    <n v="2960"/>
    <n v="0"/>
    <n v="2960"/>
    <x v="2"/>
    <x v="1"/>
  </r>
  <r>
    <x v="75"/>
    <x v="31"/>
    <x v="0"/>
    <x v="43"/>
    <s v="20-02-2023"/>
    <x v="2"/>
    <x v="0"/>
    <x v="4"/>
    <x v="4"/>
    <x v="3"/>
    <s v="No"/>
    <x v="0"/>
    <x v="2"/>
    <n v="1535"/>
    <n v="0"/>
    <n v="0"/>
    <n v="0"/>
    <n v="0"/>
    <n v="1535"/>
    <n v="0"/>
    <n v="1535"/>
    <x v="3"/>
    <x v="1"/>
  </r>
  <r>
    <x v="76"/>
    <x v="55"/>
    <x v="1"/>
    <x v="13"/>
    <s v="21-02-2023"/>
    <x v="1"/>
    <x v="0"/>
    <x v="3"/>
    <x v="3"/>
    <x v="1"/>
    <s v="No"/>
    <x v="0"/>
    <x v="0"/>
    <n v="0"/>
    <n v="0"/>
    <n v="200"/>
    <n v="0"/>
    <n v="0"/>
    <n v="200"/>
    <n v="0"/>
    <n v="200"/>
    <x v="3"/>
    <x v="1"/>
  </r>
  <r>
    <x v="77"/>
    <x v="49"/>
    <x v="1"/>
    <x v="25"/>
    <s v="22-02-2023"/>
    <x v="2"/>
    <x v="0"/>
    <x v="3"/>
    <x v="3"/>
    <x v="1"/>
    <s v="No"/>
    <x v="0"/>
    <x v="0"/>
    <n v="0"/>
    <n v="0"/>
    <n v="200"/>
    <n v="0"/>
    <n v="0"/>
    <n v="200"/>
    <n v="0"/>
    <n v="200"/>
    <x v="3"/>
    <x v="1"/>
  </r>
  <r>
    <x v="78"/>
    <x v="47"/>
    <x v="1"/>
    <x v="44"/>
    <s v="22-02-2023"/>
    <x v="1"/>
    <x v="0"/>
    <x v="1"/>
    <x v="1"/>
    <x v="1"/>
    <s v="No"/>
    <x v="1"/>
    <x v="0"/>
    <n v="0"/>
    <n v="150"/>
    <n v="200"/>
    <n v="0"/>
    <n v="0"/>
    <n v="350"/>
    <n v="0"/>
    <n v="350"/>
    <x v="2"/>
    <x v="1"/>
  </r>
  <r>
    <x v="79"/>
    <x v="9"/>
    <x v="0"/>
    <x v="36"/>
    <s v="23-02-2023"/>
    <x v="2"/>
    <x v="0"/>
    <x v="8"/>
    <x v="8"/>
    <x v="6"/>
    <s v="No"/>
    <x v="1"/>
    <x v="0"/>
    <n v="2998"/>
    <n v="0"/>
    <n v="0"/>
    <n v="0"/>
    <n v="0"/>
    <n v="2998"/>
    <n v="0"/>
    <n v="2998"/>
    <x v="3"/>
    <x v="1"/>
  </r>
  <r>
    <x v="80"/>
    <x v="42"/>
    <x v="0"/>
    <x v="45"/>
    <s v="23-02-2023"/>
    <x v="2"/>
    <x v="1"/>
    <x v="2"/>
    <x v="2"/>
    <x v="2"/>
    <s v="No"/>
    <x v="1"/>
    <x v="0"/>
    <n v="814"/>
    <n v="0"/>
    <n v="0"/>
    <n v="0"/>
    <n v="0"/>
    <n v="814"/>
    <n v="0"/>
    <n v="814"/>
    <x v="3"/>
    <x v="1"/>
  </r>
  <r>
    <x v="81"/>
    <x v="45"/>
    <x v="0"/>
    <x v="39"/>
    <s v="24-02-2023"/>
    <x v="5"/>
    <x v="0"/>
    <x v="3"/>
    <x v="3"/>
    <x v="1"/>
    <s v="No"/>
    <x v="0"/>
    <x v="2"/>
    <n v="0"/>
    <n v="0"/>
    <n v="200"/>
    <n v="0"/>
    <n v="50"/>
    <n v="150"/>
    <n v="0"/>
    <n v="150"/>
    <x v="3"/>
    <x v="1"/>
  </r>
  <r>
    <x v="82"/>
    <x v="56"/>
    <x v="0"/>
    <x v="20"/>
    <s v="24-02-2023"/>
    <x v="8"/>
    <x v="0"/>
    <x v="1"/>
    <x v="1"/>
    <x v="1"/>
    <s v="No"/>
    <x v="1"/>
    <x v="0"/>
    <n v="0"/>
    <n v="150"/>
    <n v="200"/>
    <n v="0"/>
    <n v="140"/>
    <n v="210"/>
    <n v="0"/>
    <n v="210"/>
    <x v="3"/>
    <x v="1"/>
  </r>
  <r>
    <x v="83"/>
    <x v="57"/>
    <x v="1"/>
    <x v="36"/>
    <s v="25-02-2023"/>
    <x v="2"/>
    <x v="0"/>
    <x v="3"/>
    <x v="3"/>
    <x v="1"/>
    <s v="No"/>
    <x v="0"/>
    <x v="0"/>
    <n v="0"/>
    <n v="0"/>
    <n v="200"/>
    <n v="0"/>
    <n v="0"/>
    <n v="200"/>
    <n v="0"/>
    <n v="200"/>
    <x v="0"/>
    <x v="1"/>
  </r>
  <r>
    <x v="84"/>
    <x v="7"/>
    <x v="1"/>
    <x v="16"/>
    <s v="27-02-2023"/>
    <x v="1"/>
    <x v="1"/>
    <x v="0"/>
    <x v="0"/>
    <x v="0"/>
    <s v="No"/>
    <x v="1"/>
    <x v="2"/>
    <n v="641"/>
    <n v="0"/>
    <n v="0"/>
    <n v="0"/>
    <n v="0"/>
    <n v="641"/>
    <n v="0"/>
    <n v="641"/>
    <x v="1"/>
    <x v="1"/>
  </r>
  <r>
    <x v="85"/>
    <x v="15"/>
    <x v="1"/>
    <x v="41"/>
    <s v="28-02-2023"/>
    <x v="2"/>
    <x v="0"/>
    <x v="0"/>
    <x v="0"/>
    <x v="0"/>
    <s v="No"/>
    <x v="0"/>
    <x v="1"/>
    <n v="526"/>
    <n v="0"/>
    <n v="0"/>
    <n v="0"/>
    <n v="0"/>
    <n v="526"/>
    <n v="0"/>
    <n v="526"/>
    <x v="3"/>
    <x v="1"/>
  </r>
  <r>
    <x v="86"/>
    <x v="45"/>
    <x v="0"/>
    <x v="46"/>
    <s v="28-02-2023"/>
    <x v="5"/>
    <x v="0"/>
    <x v="3"/>
    <x v="3"/>
    <x v="1"/>
    <s v="No"/>
    <x v="0"/>
    <x v="0"/>
    <n v="0"/>
    <n v="0"/>
    <n v="200"/>
    <n v="0"/>
    <n v="0"/>
    <n v="200"/>
    <n v="0"/>
    <n v="200"/>
    <x v="1"/>
    <x v="1"/>
  </r>
  <r>
    <x v="87"/>
    <x v="58"/>
    <x v="0"/>
    <x v="47"/>
    <d v="2023-01-03T00:00:00"/>
    <x v="1"/>
    <x v="0"/>
    <x v="4"/>
    <x v="4"/>
    <x v="3"/>
    <s v="No"/>
    <x v="0"/>
    <x v="0"/>
    <n v="1779"/>
    <n v="0"/>
    <n v="0"/>
    <n v="0"/>
    <n v="711.6"/>
    <n v="1067.4000000000001"/>
    <n v="0"/>
    <n v="1067.4000000000001"/>
    <x v="2"/>
    <x v="2"/>
  </r>
  <r>
    <x v="88"/>
    <x v="11"/>
    <x v="0"/>
    <x v="27"/>
    <d v="2023-01-03T00:00:00"/>
    <x v="1"/>
    <x v="0"/>
    <x v="8"/>
    <x v="8"/>
    <x v="6"/>
    <s v="No"/>
    <x v="1"/>
    <x v="0"/>
    <n v="3433"/>
    <n v="0"/>
    <n v="0"/>
    <n v="0"/>
    <n v="1000"/>
    <n v="2433"/>
    <n v="0"/>
    <n v="2433"/>
    <x v="3"/>
    <x v="2"/>
  </r>
  <r>
    <x v="89"/>
    <x v="14"/>
    <x v="1"/>
    <x v="48"/>
    <d v="2023-02-03T00:00:00"/>
    <x v="5"/>
    <x v="0"/>
    <x v="3"/>
    <x v="3"/>
    <x v="1"/>
    <s v="No"/>
    <x v="0"/>
    <x v="0"/>
    <n v="0"/>
    <n v="0"/>
    <n v="200"/>
    <n v="0"/>
    <n v="0"/>
    <n v="200"/>
    <n v="0"/>
    <n v="200"/>
    <x v="3"/>
    <x v="2"/>
  </r>
  <r>
    <x v="90"/>
    <x v="59"/>
    <x v="1"/>
    <x v="16"/>
    <d v="2023-04-03T00:00:00"/>
    <x v="1"/>
    <x v="0"/>
    <x v="3"/>
    <x v="3"/>
    <x v="1"/>
    <s v="No"/>
    <x v="0"/>
    <x v="0"/>
    <n v="0"/>
    <n v="0"/>
    <n v="200"/>
    <n v="0"/>
    <n v="0"/>
    <n v="200"/>
    <n v="0"/>
    <n v="200"/>
    <x v="2"/>
    <x v="2"/>
  </r>
  <r>
    <x v="91"/>
    <x v="36"/>
    <x v="0"/>
    <x v="46"/>
    <d v="2023-06-03T00:00:00"/>
    <x v="2"/>
    <x v="0"/>
    <x v="3"/>
    <x v="3"/>
    <x v="1"/>
    <s v="No"/>
    <x v="0"/>
    <x v="0"/>
    <n v="0"/>
    <n v="0"/>
    <n v="200"/>
    <n v="0"/>
    <n v="0"/>
    <n v="200"/>
    <n v="0"/>
    <n v="200"/>
    <x v="3"/>
    <x v="2"/>
  </r>
  <r>
    <x v="92"/>
    <x v="50"/>
    <x v="1"/>
    <x v="23"/>
    <d v="2023-08-03T00:00:00"/>
    <x v="2"/>
    <x v="0"/>
    <x v="3"/>
    <x v="3"/>
    <x v="1"/>
    <s v="No"/>
    <x v="0"/>
    <x v="1"/>
    <n v="0"/>
    <n v="0"/>
    <n v="200"/>
    <n v="0"/>
    <n v="80"/>
    <n v="120"/>
    <n v="0"/>
    <n v="120"/>
    <x v="3"/>
    <x v="2"/>
  </r>
  <r>
    <x v="93"/>
    <x v="46"/>
    <x v="0"/>
    <x v="7"/>
    <d v="2023-09-03T00:00:00"/>
    <x v="2"/>
    <x v="0"/>
    <x v="3"/>
    <x v="3"/>
    <x v="1"/>
    <s v="No"/>
    <x v="0"/>
    <x v="1"/>
    <n v="0"/>
    <n v="0"/>
    <n v="200"/>
    <n v="0"/>
    <n v="0"/>
    <n v="200"/>
    <n v="0"/>
    <n v="200"/>
    <x v="0"/>
    <x v="2"/>
  </r>
  <r>
    <x v="94"/>
    <x v="58"/>
    <x v="0"/>
    <x v="34"/>
    <d v="2023-09-03T00:00:00"/>
    <x v="2"/>
    <x v="0"/>
    <x v="3"/>
    <x v="3"/>
    <x v="1"/>
    <s v="No"/>
    <x v="0"/>
    <x v="0"/>
    <n v="0"/>
    <n v="0"/>
    <n v="200"/>
    <n v="0"/>
    <n v="80"/>
    <n v="120"/>
    <n v="0"/>
    <n v="120"/>
    <x v="3"/>
    <x v="2"/>
  </r>
  <r>
    <x v="95"/>
    <x v="60"/>
    <x v="0"/>
    <x v="33"/>
    <d v="2023-11-03T00:00:00"/>
    <x v="2"/>
    <x v="0"/>
    <x v="1"/>
    <x v="1"/>
    <x v="1"/>
    <s v="No"/>
    <x v="1"/>
    <x v="0"/>
    <n v="0"/>
    <n v="150"/>
    <n v="200"/>
    <n v="0"/>
    <n v="0"/>
    <n v="350"/>
    <n v="0"/>
    <n v="350"/>
    <x v="3"/>
    <x v="2"/>
  </r>
  <r>
    <x v="96"/>
    <x v="41"/>
    <x v="0"/>
    <x v="8"/>
    <d v="2023-12-03T00:00:00"/>
    <x v="10"/>
    <x v="0"/>
    <x v="0"/>
    <x v="0"/>
    <x v="0"/>
    <s v="No"/>
    <x v="1"/>
    <x v="2"/>
    <n v="644"/>
    <n v="0"/>
    <n v="0"/>
    <n v="0"/>
    <n v="0"/>
    <n v="644"/>
    <n v="0"/>
    <n v="644"/>
    <x v="3"/>
    <x v="2"/>
  </r>
  <r>
    <x v="97"/>
    <x v="57"/>
    <x v="1"/>
    <x v="32"/>
    <s v="13-03-2023"/>
    <x v="8"/>
    <x v="1"/>
    <x v="5"/>
    <x v="5"/>
    <x v="4"/>
    <s v="No"/>
    <x v="1"/>
    <x v="1"/>
    <n v="592"/>
    <n v="0"/>
    <n v="0"/>
    <n v="0"/>
    <n v="0"/>
    <n v="592"/>
    <n v="0"/>
    <n v="592"/>
    <x v="2"/>
    <x v="2"/>
  </r>
  <r>
    <x v="98"/>
    <x v="10"/>
    <x v="0"/>
    <x v="49"/>
    <s v="13-03-2023"/>
    <x v="5"/>
    <x v="1"/>
    <x v="1"/>
    <x v="1"/>
    <x v="1"/>
    <s v="No"/>
    <x v="1"/>
    <x v="0"/>
    <n v="0"/>
    <n v="150"/>
    <n v="200"/>
    <n v="0"/>
    <n v="0"/>
    <n v="350"/>
    <n v="0"/>
    <n v="350"/>
    <x v="2"/>
    <x v="2"/>
  </r>
  <r>
    <x v="99"/>
    <x v="44"/>
    <x v="1"/>
    <x v="5"/>
    <s v="14-03-2023"/>
    <x v="8"/>
    <x v="1"/>
    <x v="9"/>
    <x v="9"/>
    <x v="7"/>
    <s v="No"/>
    <x v="1"/>
    <x v="0"/>
    <n v="2655"/>
    <n v="0"/>
    <n v="0"/>
    <n v="950"/>
    <n v="0"/>
    <n v="2655"/>
    <n v="0"/>
    <n v="1705"/>
    <x v="3"/>
    <x v="2"/>
  </r>
  <r>
    <x v="100"/>
    <x v="29"/>
    <x v="1"/>
    <x v="50"/>
    <s v="14-03-2023"/>
    <x v="0"/>
    <x v="0"/>
    <x v="4"/>
    <x v="4"/>
    <x v="3"/>
    <s v="No"/>
    <x v="0"/>
    <x v="0"/>
    <n v="1460"/>
    <n v="0"/>
    <n v="0"/>
    <n v="0"/>
    <n v="0"/>
    <n v="1248"/>
    <n v="212"/>
    <n v="1248"/>
    <x v="3"/>
    <x v="2"/>
  </r>
  <r>
    <x v="101"/>
    <x v="53"/>
    <x v="1"/>
    <x v="28"/>
    <s v="14-03-2023"/>
    <x v="1"/>
    <x v="1"/>
    <x v="5"/>
    <x v="5"/>
    <x v="4"/>
    <s v="No"/>
    <x v="1"/>
    <x v="0"/>
    <n v="694"/>
    <n v="0"/>
    <n v="0"/>
    <n v="0"/>
    <n v="0"/>
    <n v="694"/>
    <n v="0"/>
    <n v="694"/>
    <x v="1"/>
    <x v="2"/>
  </r>
  <r>
    <x v="102"/>
    <x v="23"/>
    <x v="1"/>
    <x v="27"/>
    <s v="15-03-2023"/>
    <x v="1"/>
    <x v="0"/>
    <x v="4"/>
    <x v="4"/>
    <x v="3"/>
    <s v="No"/>
    <x v="1"/>
    <x v="0"/>
    <n v="1387"/>
    <n v="0"/>
    <n v="0"/>
    <n v="0"/>
    <n v="0"/>
    <n v="879"/>
    <n v="508"/>
    <n v="879"/>
    <x v="3"/>
    <x v="2"/>
  </r>
  <r>
    <x v="103"/>
    <x v="18"/>
    <x v="1"/>
    <x v="19"/>
    <s v="16-03-2023"/>
    <x v="1"/>
    <x v="1"/>
    <x v="3"/>
    <x v="3"/>
    <x v="1"/>
    <s v="No"/>
    <x v="0"/>
    <x v="1"/>
    <n v="0"/>
    <n v="0"/>
    <n v="200"/>
    <n v="0"/>
    <n v="0"/>
    <n v="200"/>
    <n v="0"/>
    <n v="200"/>
    <x v="1"/>
    <x v="2"/>
  </r>
  <r>
    <x v="104"/>
    <x v="38"/>
    <x v="0"/>
    <x v="51"/>
    <s v="21-03-2023"/>
    <x v="11"/>
    <x v="1"/>
    <x v="3"/>
    <x v="3"/>
    <x v="1"/>
    <s v="No"/>
    <x v="0"/>
    <x v="2"/>
    <n v="0"/>
    <n v="0"/>
    <n v="200"/>
    <n v="0"/>
    <n v="0"/>
    <n v="200"/>
    <n v="0"/>
    <n v="200"/>
    <x v="2"/>
    <x v="2"/>
  </r>
  <r>
    <x v="105"/>
    <x v="36"/>
    <x v="0"/>
    <x v="5"/>
    <s v="21-03-2023"/>
    <x v="5"/>
    <x v="0"/>
    <x v="3"/>
    <x v="3"/>
    <x v="1"/>
    <s v="No"/>
    <x v="0"/>
    <x v="0"/>
    <n v="0"/>
    <n v="0"/>
    <n v="200"/>
    <n v="0"/>
    <n v="0"/>
    <n v="200"/>
    <n v="0"/>
    <n v="200"/>
    <x v="2"/>
    <x v="2"/>
  </r>
  <r>
    <x v="106"/>
    <x v="61"/>
    <x v="1"/>
    <x v="13"/>
    <s v="21-03-2023"/>
    <x v="1"/>
    <x v="1"/>
    <x v="1"/>
    <x v="1"/>
    <x v="1"/>
    <s v="No"/>
    <x v="1"/>
    <x v="0"/>
    <n v="0"/>
    <n v="150"/>
    <n v="200"/>
    <n v="0"/>
    <n v="0"/>
    <n v="350"/>
    <n v="0"/>
    <n v="350"/>
    <x v="3"/>
    <x v="2"/>
  </r>
  <r>
    <x v="107"/>
    <x v="45"/>
    <x v="0"/>
    <x v="52"/>
    <s v="22-03-2023"/>
    <x v="2"/>
    <x v="0"/>
    <x v="1"/>
    <x v="1"/>
    <x v="1"/>
    <s v="No"/>
    <x v="1"/>
    <x v="0"/>
    <n v="0"/>
    <n v="150"/>
    <n v="200"/>
    <n v="0"/>
    <n v="0"/>
    <n v="350"/>
    <n v="0"/>
    <n v="350"/>
    <x v="1"/>
    <x v="2"/>
  </r>
  <r>
    <x v="108"/>
    <x v="14"/>
    <x v="1"/>
    <x v="29"/>
    <s v="22-03-2023"/>
    <x v="12"/>
    <x v="0"/>
    <x v="3"/>
    <x v="3"/>
    <x v="1"/>
    <s v="No"/>
    <x v="0"/>
    <x v="0"/>
    <n v="0"/>
    <n v="0"/>
    <n v="200"/>
    <n v="0"/>
    <n v="80"/>
    <n v="120"/>
    <n v="0"/>
    <n v="120"/>
    <x v="3"/>
    <x v="2"/>
  </r>
  <r>
    <x v="109"/>
    <x v="62"/>
    <x v="1"/>
    <x v="53"/>
    <s v="23-03-2023"/>
    <x v="2"/>
    <x v="0"/>
    <x v="3"/>
    <x v="3"/>
    <x v="1"/>
    <s v="No"/>
    <x v="0"/>
    <x v="0"/>
    <n v="0"/>
    <n v="0"/>
    <n v="200"/>
    <n v="0"/>
    <n v="0"/>
    <n v="200"/>
    <n v="0"/>
    <n v="200"/>
    <x v="1"/>
    <x v="2"/>
  </r>
  <r>
    <x v="110"/>
    <x v="63"/>
    <x v="0"/>
    <x v="2"/>
    <s v="25-03-2023"/>
    <x v="2"/>
    <x v="1"/>
    <x v="0"/>
    <x v="0"/>
    <x v="0"/>
    <s v="No"/>
    <x v="0"/>
    <x v="0"/>
    <n v="512"/>
    <n v="0"/>
    <n v="0"/>
    <n v="0"/>
    <n v="0"/>
    <n v="512"/>
    <n v="0"/>
    <n v="512"/>
    <x v="0"/>
    <x v="2"/>
  </r>
  <r>
    <x v="111"/>
    <x v="18"/>
    <x v="1"/>
    <x v="47"/>
    <s v="25-03-2023"/>
    <x v="2"/>
    <x v="0"/>
    <x v="7"/>
    <x v="7"/>
    <x v="5"/>
    <s v="No"/>
    <x v="0"/>
    <x v="0"/>
    <n v="12170"/>
    <n v="0"/>
    <n v="0"/>
    <n v="3510"/>
    <n v="750"/>
    <n v="8645"/>
    <n v="2775"/>
    <n v="5135"/>
    <x v="1"/>
    <x v="2"/>
  </r>
  <r>
    <x v="112"/>
    <x v="64"/>
    <x v="1"/>
    <x v="54"/>
    <s v="27-03-2023"/>
    <x v="6"/>
    <x v="1"/>
    <x v="9"/>
    <x v="9"/>
    <x v="7"/>
    <s v="No"/>
    <x v="0"/>
    <x v="0"/>
    <n v="2186"/>
    <n v="0"/>
    <n v="0"/>
    <n v="740"/>
    <n v="0"/>
    <n v="2186"/>
    <n v="0"/>
    <n v="1446"/>
    <x v="3"/>
    <x v="2"/>
  </r>
  <r>
    <x v="113"/>
    <x v="16"/>
    <x v="0"/>
    <x v="55"/>
    <s v="27-03-2023"/>
    <x v="2"/>
    <x v="0"/>
    <x v="1"/>
    <x v="1"/>
    <x v="1"/>
    <s v="No"/>
    <x v="1"/>
    <x v="0"/>
    <n v="0"/>
    <n v="150"/>
    <n v="200"/>
    <n v="0"/>
    <n v="0"/>
    <n v="350"/>
    <n v="0"/>
    <n v="350"/>
    <x v="2"/>
    <x v="2"/>
  </r>
  <r>
    <x v="114"/>
    <x v="65"/>
    <x v="1"/>
    <x v="56"/>
    <s v="27-03-2023"/>
    <x v="8"/>
    <x v="1"/>
    <x v="2"/>
    <x v="2"/>
    <x v="2"/>
    <s v="No"/>
    <x v="0"/>
    <x v="0"/>
    <n v="955"/>
    <n v="0"/>
    <n v="0"/>
    <n v="0"/>
    <n v="0"/>
    <n v="955"/>
    <n v="0"/>
    <n v="955"/>
    <x v="1"/>
    <x v="2"/>
  </r>
  <r>
    <x v="115"/>
    <x v="35"/>
    <x v="0"/>
    <x v="14"/>
    <s v="29-03-2023"/>
    <x v="2"/>
    <x v="0"/>
    <x v="8"/>
    <x v="8"/>
    <x v="6"/>
    <s v="No"/>
    <x v="0"/>
    <x v="0"/>
    <n v="2997"/>
    <n v="0"/>
    <n v="0"/>
    <n v="0"/>
    <n v="500"/>
    <n v="2497"/>
    <n v="0"/>
    <n v="2497"/>
    <x v="2"/>
    <x v="2"/>
  </r>
  <r>
    <x v="116"/>
    <x v="57"/>
    <x v="1"/>
    <x v="57"/>
    <s v="29-03-2023"/>
    <x v="5"/>
    <x v="0"/>
    <x v="1"/>
    <x v="1"/>
    <x v="1"/>
    <s v="No"/>
    <x v="1"/>
    <x v="1"/>
    <n v="0"/>
    <n v="150"/>
    <n v="200"/>
    <n v="0"/>
    <n v="0"/>
    <n v="350"/>
    <n v="0"/>
    <n v="350"/>
    <x v="0"/>
    <x v="2"/>
  </r>
  <r>
    <x v="117"/>
    <x v="66"/>
    <x v="1"/>
    <x v="58"/>
    <s v="30-03-2023"/>
    <x v="0"/>
    <x v="0"/>
    <x v="6"/>
    <x v="6"/>
    <x v="4"/>
    <s v="No"/>
    <x v="1"/>
    <x v="2"/>
    <n v="19985"/>
    <n v="0"/>
    <n v="0"/>
    <n v="4090"/>
    <n v="0"/>
    <n v="19985"/>
    <n v="0"/>
    <n v="15895"/>
    <x v="3"/>
    <x v="2"/>
  </r>
  <r>
    <x v="118"/>
    <x v="62"/>
    <x v="1"/>
    <x v="14"/>
    <s v="30-03-2023"/>
    <x v="0"/>
    <x v="0"/>
    <x v="6"/>
    <x v="6"/>
    <x v="4"/>
    <s v="No"/>
    <x v="1"/>
    <x v="0"/>
    <n v="24038"/>
    <n v="0"/>
    <n v="0"/>
    <n v="6510"/>
    <n v="0"/>
    <n v="24038"/>
    <n v="0"/>
    <n v="17528"/>
    <x v="1"/>
    <x v="2"/>
  </r>
  <r>
    <x v="119"/>
    <x v="43"/>
    <x v="0"/>
    <x v="29"/>
    <s v="31-03-2023"/>
    <x v="1"/>
    <x v="0"/>
    <x v="1"/>
    <x v="1"/>
    <x v="1"/>
    <s v="No"/>
    <x v="1"/>
    <x v="0"/>
    <n v="0"/>
    <n v="150"/>
    <n v="200"/>
    <n v="0"/>
    <n v="140"/>
    <n v="210"/>
    <n v="0"/>
    <n v="210"/>
    <x v="0"/>
    <x v="2"/>
  </r>
  <r>
    <x v="120"/>
    <x v="67"/>
    <x v="1"/>
    <x v="36"/>
    <s v="31-03-2023"/>
    <x v="2"/>
    <x v="0"/>
    <x v="1"/>
    <x v="1"/>
    <x v="1"/>
    <s v="No"/>
    <x v="1"/>
    <x v="1"/>
    <n v="0"/>
    <n v="150"/>
    <n v="200"/>
    <n v="0"/>
    <n v="140"/>
    <n v="210"/>
    <n v="0"/>
    <n v="210"/>
    <x v="3"/>
    <x v="2"/>
  </r>
  <r>
    <x v="121"/>
    <x v="56"/>
    <x v="0"/>
    <x v="4"/>
    <d v="2023-01-04T00:00:00"/>
    <x v="3"/>
    <x v="1"/>
    <x v="5"/>
    <x v="5"/>
    <x v="4"/>
    <s v="No"/>
    <x v="0"/>
    <x v="1"/>
    <n v="991"/>
    <n v="0"/>
    <n v="0"/>
    <n v="0"/>
    <n v="100"/>
    <n v="891"/>
    <n v="0"/>
    <n v="891"/>
    <x v="2"/>
    <x v="3"/>
  </r>
  <r>
    <x v="122"/>
    <x v="68"/>
    <x v="1"/>
    <x v="21"/>
    <d v="2023-01-04T00:00:00"/>
    <x v="2"/>
    <x v="0"/>
    <x v="7"/>
    <x v="7"/>
    <x v="5"/>
    <s v="No"/>
    <x v="0"/>
    <x v="0"/>
    <n v="12102"/>
    <n v="0"/>
    <n v="0"/>
    <n v="3240"/>
    <n v="300"/>
    <n v="11802"/>
    <n v="0"/>
    <n v="8562"/>
    <x v="3"/>
    <x v="3"/>
  </r>
  <r>
    <x v="123"/>
    <x v="69"/>
    <x v="0"/>
    <x v="42"/>
    <d v="2023-03-04T00:00:00"/>
    <x v="5"/>
    <x v="1"/>
    <x v="5"/>
    <x v="5"/>
    <x v="4"/>
    <s v="No"/>
    <x v="1"/>
    <x v="0"/>
    <n v="800"/>
    <n v="0"/>
    <n v="0"/>
    <n v="0"/>
    <n v="0"/>
    <n v="800"/>
    <n v="0"/>
    <n v="800"/>
    <x v="3"/>
    <x v="3"/>
  </r>
  <r>
    <x v="124"/>
    <x v="8"/>
    <x v="0"/>
    <x v="59"/>
    <d v="2023-03-04T00:00:00"/>
    <x v="1"/>
    <x v="0"/>
    <x v="3"/>
    <x v="3"/>
    <x v="1"/>
    <s v="No"/>
    <x v="0"/>
    <x v="0"/>
    <n v="0"/>
    <n v="0"/>
    <n v="200"/>
    <n v="0"/>
    <n v="0"/>
    <n v="200"/>
    <n v="0"/>
    <n v="200"/>
    <x v="3"/>
    <x v="3"/>
  </r>
  <r>
    <x v="125"/>
    <x v="29"/>
    <x v="1"/>
    <x v="60"/>
    <d v="2023-03-04T00:00:00"/>
    <x v="7"/>
    <x v="0"/>
    <x v="3"/>
    <x v="3"/>
    <x v="1"/>
    <s v="No"/>
    <x v="0"/>
    <x v="0"/>
    <n v="0"/>
    <n v="0"/>
    <n v="200"/>
    <n v="0"/>
    <n v="0"/>
    <n v="200"/>
    <n v="0"/>
    <n v="200"/>
    <x v="3"/>
    <x v="3"/>
  </r>
  <r>
    <x v="126"/>
    <x v="24"/>
    <x v="0"/>
    <x v="50"/>
    <d v="2023-04-04T00:00:00"/>
    <x v="2"/>
    <x v="0"/>
    <x v="3"/>
    <x v="3"/>
    <x v="1"/>
    <s v="No"/>
    <x v="0"/>
    <x v="0"/>
    <n v="0"/>
    <n v="0"/>
    <n v="200"/>
    <n v="0"/>
    <n v="0"/>
    <n v="200"/>
    <n v="0"/>
    <n v="200"/>
    <x v="3"/>
    <x v="3"/>
  </r>
  <r>
    <x v="127"/>
    <x v="15"/>
    <x v="1"/>
    <x v="14"/>
    <d v="2023-04-04T00:00:00"/>
    <x v="1"/>
    <x v="0"/>
    <x v="0"/>
    <x v="0"/>
    <x v="0"/>
    <s v="No"/>
    <x v="0"/>
    <x v="0"/>
    <n v="446"/>
    <n v="0"/>
    <n v="0"/>
    <n v="0"/>
    <n v="178.4"/>
    <n v="267.60000000000002"/>
    <n v="0"/>
    <n v="267.60000000000002"/>
    <x v="0"/>
    <x v="3"/>
  </r>
  <r>
    <x v="128"/>
    <x v="37"/>
    <x v="0"/>
    <x v="34"/>
    <d v="2023-05-04T00:00:00"/>
    <x v="1"/>
    <x v="0"/>
    <x v="1"/>
    <x v="1"/>
    <x v="1"/>
    <s v="No"/>
    <x v="1"/>
    <x v="0"/>
    <n v="0"/>
    <n v="150"/>
    <n v="200"/>
    <n v="0"/>
    <n v="0"/>
    <n v="350"/>
    <n v="0"/>
    <n v="350"/>
    <x v="3"/>
    <x v="3"/>
  </r>
  <r>
    <x v="129"/>
    <x v="32"/>
    <x v="1"/>
    <x v="61"/>
    <d v="2023-06-04T00:00:00"/>
    <x v="2"/>
    <x v="1"/>
    <x v="3"/>
    <x v="3"/>
    <x v="1"/>
    <s v="No"/>
    <x v="0"/>
    <x v="2"/>
    <n v="0"/>
    <n v="0"/>
    <n v="200"/>
    <n v="0"/>
    <n v="80"/>
    <n v="120"/>
    <n v="0"/>
    <n v="120"/>
    <x v="2"/>
    <x v="3"/>
  </r>
  <r>
    <x v="130"/>
    <x v="70"/>
    <x v="1"/>
    <x v="38"/>
    <d v="2023-06-04T00:00:00"/>
    <x v="5"/>
    <x v="0"/>
    <x v="3"/>
    <x v="3"/>
    <x v="1"/>
    <s v="No"/>
    <x v="0"/>
    <x v="0"/>
    <n v="0"/>
    <n v="0"/>
    <n v="200"/>
    <n v="0"/>
    <n v="0"/>
    <n v="200"/>
    <n v="0"/>
    <n v="200"/>
    <x v="1"/>
    <x v="3"/>
  </r>
  <r>
    <x v="131"/>
    <x v="71"/>
    <x v="0"/>
    <x v="52"/>
    <d v="2023-07-04T00:00:00"/>
    <x v="2"/>
    <x v="0"/>
    <x v="1"/>
    <x v="1"/>
    <x v="1"/>
    <s v="No"/>
    <x v="1"/>
    <x v="0"/>
    <n v="0"/>
    <n v="150"/>
    <n v="200"/>
    <n v="0"/>
    <n v="0"/>
    <n v="350"/>
    <n v="0"/>
    <n v="350"/>
    <x v="3"/>
    <x v="3"/>
  </r>
  <r>
    <x v="132"/>
    <x v="33"/>
    <x v="0"/>
    <x v="14"/>
    <d v="2023-08-04T00:00:00"/>
    <x v="1"/>
    <x v="0"/>
    <x v="6"/>
    <x v="6"/>
    <x v="4"/>
    <s v="No"/>
    <x v="1"/>
    <x v="0"/>
    <n v="21752"/>
    <n v="0"/>
    <n v="0"/>
    <n v="5990"/>
    <n v="0"/>
    <n v="21752"/>
    <n v="0"/>
    <n v="15762"/>
    <x v="3"/>
    <x v="3"/>
  </r>
  <r>
    <x v="133"/>
    <x v="53"/>
    <x v="1"/>
    <x v="18"/>
    <d v="2023-10-04T00:00:00"/>
    <x v="2"/>
    <x v="0"/>
    <x v="6"/>
    <x v="6"/>
    <x v="4"/>
    <s v="No"/>
    <x v="1"/>
    <x v="0"/>
    <n v="21926"/>
    <n v="0"/>
    <n v="0"/>
    <n v="7050"/>
    <n v="0"/>
    <n v="21926"/>
    <n v="0"/>
    <n v="14876"/>
    <x v="3"/>
    <x v="3"/>
  </r>
  <r>
    <x v="134"/>
    <x v="36"/>
    <x v="0"/>
    <x v="6"/>
    <d v="2023-10-04T00:00:00"/>
    <x v="1"/>
    <x v="0"/>
    <x v="3"/>
    <x v="3"/>
    <x v="1"/>
    <s v="No"/>
    <x v="0"/>
    <x v="0"/>
    <n v="0"/>
    <n v="0"/>
    <n v="200"/>
    <n v="0"/>
    <n v="80"/>
    <n v="120"/>
    <n v="0"/>
    <n v="120"/>
    <x v="3"/>
    <x v="3"/>
  </r>
  <r>
    <x v="135"/>
    <x v="62"/>
    <x v="1"/>
    <x v="24"/>
    <d v="2023-11-04T00:00:00"/>
    <x v="1"/>
    <x v="1"/>
    <x v="3"/>
    <x v="3"/>
    <x v="1"/>
    <s v="No"/>
    <x v="0"/>
    <x v="0"/>
    <n v="0"/>
    <n v="0"/>
    <n v="200"/>
    <n v="0"/>
    <n v="0"/>
    <n v="200"/>
    <n v="0"/>
    <n v="200"/>
    <x v="1"/>
    <x v="3"/>
  </r>
  <r>
    <x v="136"/>
    <x v="34"/>
    <x v="1"/>
    <x v="62"/>
    <d v="2023-12-04T00:00:00"/>
    <x v="2"/>
    <x v="0"/>
    <x v="3"/>
    <x v="3"/>
    <x v="1"/>
    <s v="No"/>
    <x v="0"/>
    <x v="0"/>
    <n v="0"/>
    <n v="0"/>
    <n v="200"/>
    <n v="0"/>
    <n v="0"/>
    <n v="200"/>
    <n v="0"/>
    <n v="200"/>
    <x v="3"/>
    <x v="3"/>
  </r>
  <r>
    <x v="137"/>
    <x v="28"/>
    <x v="0"/>
    <x v="17"/>
    <d v="2023-12-04T00:00:00"/>
    <x v="2"/>
    <x v="0"/>
    <x v="7"/>
    <x v="7"/>
    <x v="5"/>
    <s v="No"/>
    <x v="1"/>
    <x v="0"/>
    <n v="15636"/>
    <n v="0"/>
    <n v="0"/>
    <n v="3200"/>
    <n v="0"/>
    <n v="15636"/>
    <n v="0"/>
    <n v="12436"/>
    <x v="3"/>
    <x v="3"/>
  </r>
  <r>
    <x v="138"/>
    <x v="72"/>
    <x v="0"/>
    <x v="26"/>
    <s v="13-04-2023"/>
    <x v="2"/>
    <x v="0"/>
    <x v="0"/>
    <x v="0"/>
    <x v="0"/>
    <s v="No"/>
    <x v="1"/>
    <x v="0"/>
    <n v="687"/>
    <n v="0"/>
    <n v="0"/>
    <n v="0"/>
    <n v="200"/>
    <n v="487"/>
    <n v="0"/>
    <n v="487"/>
    <x v="2"/>
    <x v="3"/>
  </r>
  <r>
    <x v="139"/>
    <x v="67"/>
    <x v="1"/>
    <x v="44"/>
    <s v="13-04-2023"/>
    <x v="5"/>
    <x v="0"/>
    <x v="3"/>
    <x v="3"/>
    <x v="1"/>
    <s v="No"/>
    <x v="0"/>
    <x v="2"/>
    <n v="0"/>
    <n v="0"/>
    <n v="200"/>
    <n v="0"/>
    <n v="0"/>
    <n v="200"/>
    <n v="0"/>
    <n v="200"/>
    <x v="3"/>
    <x v="3"/>
  </r>
  <r>
    <x v="140"/>
    <x v="55"/>
    <x v="1"/>
    <x v="34"/>
    <s v="14-04-2023"/>
    <x v="2"/>
    <x v="0"/>
    <x v="3"/>
    <x v="3"/>
    <x v="1"/>
    <s v="No"/>
    <x v="0"/>
    <x v="0"/>
    <n v="0"/>
    <n v="0"/>
    <n v="200"/>
    <n v="0"/>
    <n v="0"/>
    <n v="200"/>
    <n v="0"/>
    <n v="200"/>
    <x v="3"/>
    <x v="3"/>
  </r>
  <r>
    <x v="141"/>
    <x v="63"/>
    <x v="0"/>
    <x v="23"/>
    <s v="14-04-2023"/>
    <x v="1"/>
    <x v="0"/>
    <x v="3"/>
    <x v="3"/>
    <x v="1"/>
    <s v="No"/>
    <x v="0"/>
    <x v="0"/>
    <n v="0"/>
    <n v="0"/>
    <n v="200"/>
    <n v="0"/>
    <n v="0"/>
    <n v="200"/>
    <n v="0"/>
    <n v="200"/>
    <x v="3"/>
    <x v="3"/>
  </r>
  <r>
    <x v="142"/>
    <x v="58"/>
    <x v="0"/>
    <x v="43"/>
    <s v="15-04-2023"/>
    <x v="2"/>
    <x v="0"/>
    <x v="6"/>
    <x v="6"/>
    <x v="4"/>
    <s v="No"/>
    <x v="1"/>
    <x v="0"/>
    <n v="22553"/>
    <n v="0"/>
    <n v="0"/>
    <n v="6100"/>
    <n v="500"/>
    <n v="22053"/>
    <n v="0"/>
    <n v="15953"/>
    <x v="0"/>
    <x v="3"/>
  </r>
  <r>
    <x v="143"/>
    <x v="41"/>
    <x v="0"/>
    <x v="0"/>
    <s v="17-04-2023"/>
    <x v="5"/>
    <x v="0"/>
    <x v="1"/>
    <x v="1"/>
    <x v="1"/>
    <s v="No"/>
    <x v="1"/>
    <x v="0"/>
    <n v="0"/>
    <n v="150"/>
    <n v="200"/>
    <n v="0"/>
    <n v="0"/>
    <n v="350"/>
    <n v="0"/>
    <n v="350"/>
    <x v="1"/>
    <x v="3"/>
  </r>
  <r>
    <x v="144"/>
    <x v="72"/>
    <x v="0"/>
    <x v="27"/>
    <s v="17-04-2023"/>
    <x v="5"/>
    <x v="1"/>
    <x v="0"/>
    <x v="0"/>
    <x v="0"/>
    <s v="No"/>
    <x v="0"/>
    <x v="0"/>
    <n v="649"/>
    <n v="0"/>
    <n v="0"/>
    <n v="0"/>
    <n v="0"/>
    <n v="649"/>
    <n v="0"/>
    <n v="649"/>
    <x v="3"/>
    <x v="3"/>
  </r>
  <r>
    <x v="145"/>
    <x v="5"/>
    <x v="1"/>
    <x v="8"/>
    <s v="17-04-2023"/>
    <x v="2"/>
    <x v="0"/>
    <x v="8"/>
    <x v="8"/>
    <x v="6"/>
    <s v="No"/>
    <x v="1"/>
    <x v="0"/>
    <n v="2678"/>
    <n v="0"/>
    <n v="0"/>
    <n v="0"/>
    <n v="0"/>
    <n v="2678"/>
    <n v="0"/>
    <n v="2678"/>
    <x v="2"/>
    <x v="3"/>
  </r>
  <r>
    <x v="146"/>
    <x v="59"/>
    <x v="1"/>
    <x v="46"/>
    <s v="19-04-2023"/>
    <x v="2"/>
    <x v="1"/>
    <x v="5"/>
    <x v="5"/>
    <x v="4"/>
    <s v="No"/>
    <x v="0"/>
    <x v="0"/>
    <n v="745"/>
    <n v="0"/>
    <n v="0"/>
    <n v="0"/>
    <n v="298"/>
    <n v="447"/>
    <n v="0"/>
    <n v="447"/>
    <x v="1"/>
    <x v="3"/>
  </r>
  <r>
    <x v="147"/>
    <x v="59"/>
    <x v="1"/>
    <x v="56"/>
    <s v="20-04-2023"/>
    <x v="1"/>
    <x v="0"/>
    <x v="1"/>
    <x v="1"/>
    <x v="1"/>
    <s v="No"/>
    <x v="1"/>
    <x v="0"/>
    <n v="0"/>
    <n v="150"/>
    <n v="200"/>
    <n v="0"/>
    <n v="0"/>
    <n v="350"/>
    <n v="0"/>
    <n v="350"/>
    <x v="2"/>
    <x v="3"/>
  </r>
  <r>
    <x v="148"/>
    <x v="44"/>
    <x v="1"/>
    <x v="63"/>
    <s v="20-04-2023"/>
    <x v="5"/>
    <x v="0"/>
    <x v="1"/>
    <x v="1"/>
    <x v="1"/>
    <s v="No"/>
    <x v="1"/>
    <x v="0"/>
    <n v="0"/>
    <n v="150"/>
    <n v="200"/>
    <n v="0"/>
    <n v="0"/>
    <n v="350"/>
    <n v="0"/>
    <n v="350"/>
    <x v="3"/>
    <x v="3"/>
  </r>
  <r>
    <x v="149"/>
    <x v="62"/>
    <x v="1"/>
    <x v="39"/>
    <s v="20-04-2023"/>
    <x v="0"/>
    <x v="0"/>
    <x v="1"/>
    <x v="1"/>
    <x v="1"/>
    <s v="No"/>
    <x v="1"/>
    <x v="0"/>
    <n v="0"/>
    <n v="150"/>
    <n v="200"/>
    <n v="0"/>
    <n v="0"/>
    <n v="350"/>
    <n v="0"/>
    <n v="350"/>
    <x v="2"/>
    <x v="3"/>
  </r>
  <r>
    <x v="150"/>
    <x v="36"/>
    <x v="0"/>
    <x v="55"/>
    <s v="22-04-2023"/>
    <x v="5"/>
    <x v="0"/>
    <x v="1"/>
    <x v="1"/>
    <x v="1"/>
    <s v="No"/>
    <x v="1"/>
    <x v="0"/>
    <n v="0"/>
    <n v="150"/>
    <n v="200"/>
    <n v="0"/>
    <n v="0"/>
    <n v="350"/>
    <n v="0"/>
    <n v="350"/>
    <x v="1"/>
    <x v="3"/>
  </r>
  <r>
    <x v="151"/>
    <x v="49"/>
    <x v="1"/>
    <x v="37"/>
    <s v="22-04-2023"/>
    <x v="2"/>
    <x v="0"/>
    <x v="1"/>
    <x v="1"/>
    <x v="1"/>
    <s v="No"/>
    <x v="1"/>
    <x v="0"/>
    <n v="0"/>
    <n v="150"/>
    <n v="200"/>
    <n v="0"/>
    <n v="0"/>
    <n v="350"/>
    <n v="0"/>
    <n v="350"/>
    <x v="0"/>
    <x v="3"/>
  </r>
  <r>
    <x v="152"/>
    <x v="56"/>
    <x v="0"/>
    <x v="40"/>
    <s v="23-04-2023"/>
    <x v="5"/>
    <x v="1"/>
    <x v="1"/>
    <x v="1"/>
    <x v="1"/>
    <s v="No"/>
    <x v="1"/>
    <x v="0"/>
    <n v="0"/>
    <n v="150"/>
    <n v="200"/>
    <n v="0"/>
    <n v="0"/>
    <n v="350"/>
    <n v="0"/>
    <n v="350"/>
    <x v="3"/>
    <x v="3"/>
  </r>
  <r>
    <x v="153"/>
    <x v="17"/>
    <x v="1"/>
    <x v="47"/>
    <s v="24-04-2023"/>
    <x v="1"/>
    <x v="1"/>
    <x v="2"/>
    <x v="2"/>
    <x v="2"/>
    <s v="No"/>
    <x v="1"/>
    <x v="0"/>
    <n v="929"/>
    <n v="0"/>
    <n v="0"/>
    <n v="0"/>
    <n v="0"/>
    <n v="929"/>
    <n v="0"/>
    <n v="929"/>
    <x v="3"/>
    <x v="3"/>
  </r>
  <r>
    <x v="154"/>
    <x v="73"/>
    <x v="1"/>
    <x v="14"/>
    <s v="24-04-2023"/>
    <x v="8"/>
    <x v="0"/>
    <x v="3"/>
    <x v="3"/>
    <x v="1"/>
    <s v="No"/>
    <x v="0"/>
    <x v="0"/>
    <n v="0"/>
    <n v="0"/>
    <n v="200"/>
    <n v="0"/>
    <n v="0"/>
    <n v="200"/>
    <n v="0"/>
    <n v="200"/>
    <x v="3"/>
    <x v="3"/>
  </r>
  <r>
    <x v="155"/>
    <x v="74"/>
    <x v="1"/>
    <x v="64"/>
    <s v="24-04-2023"/>
    <x v="1"/>
    <x v="0"/>
    <x v="4"/>
    <x v="4"/>
    <x v="3"/>
    <s v="No"/>
    <x v="1"/>
    <x v="2"/>
    <n v="1220"/>
    <n v="0"/>
    <n v="0"/>
    <n v="0"/>
    <n v="100"/>
    <n v="1120"/>
    <n v="0"/>
    <n v="1120"/>
    <x v="1"/>
    <x v="3"/>
  </r>
  <r>
    <x v="156"/>
    <x v="61"/>
    <x v="1"/>
    <x v="55"/>
    <s v="25-04-2023"/>
    <x v="2"/>
    <x v="1"/>
    <x v="1"/>
    <x v="1"/>
    <x v="1"/>
    <s v="No"/>
    <x v="1"/>
    <x v="0"/>
    <n v="0"/>
    <n v="150"/>
    <n v="200"/>
    <n v="0"/>
    <n v="140"/>
    <n v="210"/>
    <n v="0"/>
    <n v="210"/>
    <x v="0"/>
    <x v="3"/>
  </r>
  <r>
    <x v="157"/>
    <x v="30"/>
    <x v="1"/>
    <x v="47"/>
    <s v="25-04-2023"/>
    <x v="6"/>
    <x v="1"/>
    <x v="3"/>
    <x v="3"/>
    <x v="1"/>
    <s v="No"/>
    <x v="0"/>
    <x v="2"/>
    <n v="0"/>
    <n v="0"/>
    <n v="200"/>
    <n v="0"/>
    <n v="0"/>
    <n v="200"/>
    <n v="0"/>
    <n v="200"/>
    <x v="1"/>
    <x v="3"/>
  </r>
  <r>
    <x v="158"/>
    <x v="29"/>
    <x v="1"/>
    <x v="26"/>
    <s v="26-04-2023"/>
    <x v="1"/>
    <x v="0"/>
    <x v="3"/>
    <x v="3"/>
    <x v="1"/>
    <s v="No"/>
    <x v="0"/>
    <x v="1"/>
    <n v="0"/>
    <n v="0"/>
    <n v="200"/>
    <n v="0"/>
    <n v="0"/>
    <n v="200"/>
    <n v="0"/>
    <n v="200"/>
    <x v="2"/>
    <x v="3"/>
  </r>
  <r>
    <x v="159"/>
    <x v="9"/>
    <x v="0"/>
    <x v="65"/>
    <s v="27-04-2023"/>
    <x v="1"/>
    <x v="1"/>
    <x v="1"/>
    <x v="1"/>
    <x v="1"/>
    <s v="No"/>
    <x v="1"/>
    <x v="0"/>
    <n v="0"/>
    <n v="150"/>
    <n v="200"/>
    <n v="0"/>
    <n v="0"/>
    <n v="350"/>
    <n v="0"/>
    <n v="350"/>
    <x v="0"/>
    <x v="3"/>
  </r>
  <r>
    <x v="160"/>
    <x v="23"/>
    <x v="1"/>
    <x v="51"/>
    <s v="28-04-2023"/>
    <x v="2"/>
    <x v="0"/>
    <x v="3"/>
    <x v="3"/>
    <x v="1"/>
    <s v="No"/>
    <x v="0"/>
    <x v="1"/>
    <n v="0"/>
    <n v="0"/>
    <n v="200"/>
    <n v="0"/>
    <n v="80"/>
    <n v="120"/>
    <n v="0"/>
    <n v="120"/>
    <x v="2"/>
    <x v="3"/>
  </r>
  <r>
    <x v="161"/>
    <x v="31"/>
    <x v="0"/>
    <x v="1"/>
    <s v="29-04-2023"/>
    <x v="2"/>
    <x v="1"/>
    <x v="3"/>
    <x v="3"/>
    <x v="1"/>
    <s v="No"/>
    <x v="0"/>
    <x v="0"/>
    <n v="0"/>
    <n v="0"/>
    <n v="200"/>
    <n v="0"/>
    <n v="0"/>
    <n v="200"/>
    <n v="0"/>
    <n v="200"/>
    <x v="3"/>
    <x v="3"/>
  </r>
  <r>
    <x v="162"/>
    <x v="35"/>
    <x v="0"/>
    <x v="5"/>
    <s v="29-04-2023"/>
    <x v="1"/>
    <x v="1"/>
    <x v="2"/>
    <x v="2"/>
    <x v="2"/>
    <s v="No"/>
    <x v="0"/>
    <x v="0"/>
    <n v="770"/>
    <n v="0"/>
    <n v="0"/>
    <n v="0"/>
    <n v="308"/>
    <n v="462"/>
    <n v="0"/>
    <n v="462"/>
    <x v="2"/>
    <x v="3"/>
  </r>
  <r>
    <x v="163"/>
    <x v="8"/>
    <x v="0"/>
    <x v="8"/>
    <d v="2023-01-05T00:00:00"/>
    <x v="2"/>
    <x v="0"/>
    <x v="3"/>
    <x v="3"/>
    <x v="1"/>
    <s v="No"/>
    <x v="0"/>
    <x v="0"/>
    <n v="0"/>
    <n v="0"/>
    <n v="200"/>
    <n v="0"/>
    <n v="0"/>
    <n v="200"/>
    <n v="0"/>
    <n v="200"/>
    <x v="3"/>
    <x v="4"/>
  </r>
  <r>
    <x v="164"/>
    <x v="57"/>
    <x v="1"/>
    <x v="58"/>
    <d v="2023-02-05T00:00:00"/>
    <x v="5"/>
    <x v="0"/>
    <x v="8"/>
    <x v="8"/>
    <x v="6"/>
    <s v="No"/>
    <x v="1"/>
    <x v="0"/>
    <n v="3085"/>
    <n v="0"/>
    <n v="0"/>
    <n v="0"/>
    <n v="0"/>
    <n v="3085"/>
    <n v="0"/>
    <n v="3085"/>
    <x v="3"/>
    <x v="4"/>
  </r>
  <r>
    <x v="165"/>
    <x v="19"/>
    <x v="1"/>
    <x v="66"/>
    <d v="2023-02-05T00:00:00"/>
    <x v="13"/>
    <x v="1"/>
    <x v="1"/>
    <x v="1"/>
    <x v="1"/>
    <s v="No"/>
    <x v="1"/>
    <x v="1"/>
    <n v="0"/>
    <n v="150"/>
    <n v="200"/>
    <n v="0"/>
    <n v="0"/>
    <n v="350"/>
    <n v="0"/>
    <n v="350"/>
    <x v="1"/>
    <x v="4"/>
  </r>
  <r>
    <x v="166"/>
    <x v="75"/>
    <x v="1"/>
    <x v="67"/>
    <d v="2023-02-05T00:00:00"/>
    <x v="2"/>
    <x v="1"/>
    <x v="3"/>
    <x v="3"/>
    <x v="1"/>
    <s v="No"/>
    <x v="0"/>
    <x v="0"/>
    <n v="0"/>
    <n v="0"/>
    <n v="200"/>
    <n v="0"/>
    <n v="0"/>
    <n v="200"/>
    <n v="0"/>
    <n v="200"/>
    <x v="3"/>
    <x v="4"/>
  </r>
  <r>
    <x v="167"/>
    <x v="76"/>
    <x v="1"/>
    <x v="47"/>
    <d v="2023-04-05T00:00:00"/>
    <x v="1"/>
    <x v="0"/>
    <x v="1"/>
    <x v="1"/>
    <x v="1"/>
    <s v="No"/>
    <x v="1"/>
    <x v="0"/>
    <n v="0"/>
    <n v="150"/>
    <n v="200"/>
    <n v="0"/>
    <n v="140"/>
    <n v="210"/>
    <n v="0"/>
    <n v="210"/>
    <x v="3"/>
    <x v="4"/>
  </r>
  <r>
    <x v="168"/>
    <x v="77"/>
    <x v="0"/>
    <x v="40"/>
    <d v="2023-04-05T00:00:00"/>
    <x v="13"/>
    <x v="1"/>
    <x v="0"/>
    <x v="0"/>
    <x v="0"/>
    <s v="No"/>
    <x v="0"/>
    <x v="0"/>
    <n v="527"/>
    <n v="0"/>
    <n v="0"/>
    <n v="0"/>
    <n v="0"/>
    <n v="527"/>
    <n v="0"/>
    <n v="527"/>
    <x v="3"/>
    <x v="4"/>
  </r>
  <r>
    <x v="169"/>
    <x v="27"/>
    <x v="0"/>
    <x v="51"/>
    <d v="2023-05-05T00:00:00"/>
    <x v="1"/>
    <x v="0"/>
    <x v="0"/>
    <x v="0"/>
    <x v="0"/>
    <s v="No"/>
    <x v="1"/>
    <x v="0"/>
    <n v="426"/>
    <n v="0"/>
    <n v="0"/>
    <n v="0"/>
    <n v="0"/>
    <n v="426"/>
    <n v="0"/>
    <n v="426"/>
    <x v="3"/>
    <x v="4"/>
  </r>
  <r>
    <x v="170"/>
    <x v="49"/>
    <x v="1"/>
    <x v="14"/>
    <d v="2023-05-05T00:00:00"/>
    <x v="8"/>
    <x v="1"/>
    <x v="1"/>
    <x v="1"/>
    <x v="1"/>
    <s v="No"/>
    <x v="1"/>
    <x v="0"/>
    <n v="0"/>
    <n v="150"/>
    <n v="200"/>
    <n v="0"/>
    <n v="0"/>
    <n v="350"/>
    <n v="0"/>
    <n v="350"/>
    <x v="3"/>
    <x v="4"/>
  </r>
  <r>
    <x v="171"/>
    <x v="78"/>
    <x v="0"/>
    <x v="68"/>
    <d v="2023-06-05T00:00:00"/>
    <x v="13"/>
    <x v="0"/>
    <x v="1"/>
    <x v="1"/>
    <x v="1"/>
    <s v="No"/>
    <x v="1"/>
    <x v="0"/>
    <n v="0"/>
    <n v="150"/>
    <n v="200"/>
    <n v="0"/>
    <n v="0"/>
    <n v="350"/>
    <n v="0"/>
    <n v="350"/>
    <x v="3"/>
    <x v="4"/>
  </r>
  <r>
    <x v="172"/>
    <x v="44"/>
    <x v="1"/>
    <x v="19"/>
    <d v="2023-06-05T00:00:00"/>
    <x v="2"/>
    <x v="0"/>
    <x v="1"/>
    <x v="1"/>
    <x v="1"/>
    <s v="No"/>
    <x v="1"/>
    <x v="0"/>
    <n v="0"/>
    <n v="150"/>
    <n v="200"/>
    <n v="0"/>
    <n v="0"/>
    <n v="350"/>
    <n v="0"/>
    <n v="350"/>
    <x v="3"/>
    <x v="4"/>
  </r>
  <r>
    <x v="173"/>
    <x v="62"/>
    <x v="1"/>
    <x v="69"/>
    <d v="2023-08-05T00:00:00"/>
    <x v="5"/>
    <x v="1"/>
    <x v="9"/>
    <x v="9"/>
    <x v="7"/>
    <s v="No"/>
    <x v="1"/>
    <x v="0"/>
    <n v="3319"/>
    <n v="0"/>
    <n v="0"/>
    <n v="1010"/>
    <n v="0"/>
    <n v="3319"/>
    <n v="0"/>
    <n v="2309"/>
    <x v="1"/>
    <x v="4"/>
  </r>
  <r>
    <x v="174"/>
    <x v="15"/>
    <x v="1"/>
    <x v="40"/>
    <d v="2023-08-05T00:00:00"/>
    <x v="2"/>
    <x v="1"/>
    <x v="3"/>
    <x v="3"/>
    <x v="1"/>
    <s v="No"/>
    <x v="0"/>
    <x v="2"/>
    <n v="0"/>
    <n v="0"/>
    <n v="200"/>
    <n v="0"/>
    <n v="0"/>
    <n v="200"/>
    <n v="0"/>
    <n v="200"/>
    <x v="2"/>
    <x v="4"/>
  </r>
  <r>
    <x v="175"/>
    <x v="79"/>
    <x v="1"/>
    <x v="34"/>
    <d v="2023-08-05T00:00:00"/>
    <x v="8"/>
    <x v="0"/>
    <x v="6"/>
    <x v="6"/>
    <x v="4"/>
    <s v="No"/>
    <x v="1"/>
    <x v="0"/>
    <n v="25228"/>
    <n v="0"/>
    <n v="0"/>
    <n v="7260"/>
    <n v="0"/>
    <n v="25228"/>
    <n v="0"/>
    <n v="17968"/>
    <x v="1"/>
    <x v="4"/>
  </r>
  <r>
    <x v="176"/>
    <x v="19"/>
    <x v="1"/>
    <x v="20"/>
    <d v="2023-09-05T00:00:00"/>
    <x v="6"/>
    <x v="0"/>
    <x v="8"/>
    <x v="8"/>
    <x v="6"/>
    <s v="No"/>
    <x v="1"/>
    <x v="1"/>
    <n v="4028"/>
    <n v="0"/>
    <n v="0"/>
    <n v="0"/>
    <n v="0"/>
    <n v="4028"/>
    <n v="0"/>
    <n v="4028"/>
    <x v="3"/>
    <x v="4"/>
  </r>
  <r>
    <x v="177"/>
    <x v="79"/>
    <x v="1"/>
    <x v="70"/>
    <d v="2023-09-05T00:00:00"/>
    <x v="0"/>
    <x v="0"/>
    <x v="3"/>
    <x v="3"/>
    <x v="1"/>
    <s v="No"/>
    <x v="0"/>
    <x v="0"/>
    <n v="0"/>
    <n v="0"/>
    <n v="200"/>
    <n v="0"/>
    <n v="0"/>
    <n v="200"/>
    <n v="0"/>
    <n v="200"/>
    <x v="3"/>
    <x v="4"/>
  </r>
  <r>
    <x v="178"/>
    <x v="68"/>
    <x v="1"/>
    <x v="2"/>
    <d v="2023-10-05T00:00:00"/>
    <x v="1"/>
    <x v="0"/>
    <x v="4"/>
    <x v="4"/>
    <x v="3"/>
    <s v="No"/>
    <x v="1"/>
    <x v="0"/>
    <n v="1539"/>
    <n v="0"/>
    <n v="0"/>
    <n v="0"/>
    <n v="615.6"/>
    <n v="923.4"/>
    <n v="0"/>
    <n v="923.4"/>
    <x v="2"/>
    <x v="4"/>
  </r>
  <r>
    <x v="179"/>
    <x v="33"/>
    <x v="0"/>
    <x v="34"/>
    <d v="2023-11-05T00:00:00"/>
    <x v="13"/>
    <x v="0"/>
    <x v="3"/>
    <x v="3"/>
    <x v="1"/>
    <s v="No"/>
    <x v="0"/>
    <x v="1"/>
    <n v="0"/>
    <n v="0"/>
    <n v="200"/>
    <n v="0"/>
    <n v="0"/>
    <n v="200"/>
    <n v="0"/>
    <n v="200"/>
    <x v="3"/>
    <x v="4"/>
  </r>
  <r>
    <x v="180"/>
    <x v="69"/>
    <x v="0"/>
    <x v="61"/>
    <d v="2023-12-05T00:00:00"/>
    <x v="0"/>
    <x v="0"/>
    <x v="1"/>
    <x v="1"/>
    <x v="1"/>
    <s v="No"/>
    <x v="1"/>
    <x v="2"/>
    <n v="0"/>
    <n v="150"/>
    <n v="200"/>
    <n v="0"/>
    <n v="0"/>
    <n v="350"/>
    <n v="0"/>
    <n v="350"/>
    <x v="2"/>
    <x v="4"/>
  </r>
  <r>
    <x v="181"/>
    <x v="24"/>
    <x v="0"/>
    <x v="3"/>
    <d v="2023-12-05T00:00:00"/>
    <x v="2"/>
    <x v="1"/>
    <x v="3"/>
    <x v="3"/>
    <x v="1"/>
    <s v="No"/>
    <x v="0"/>
    <x v="0"/>
    <n v="0"/>
    <n v="0"/>
    <n v="200"/>
    <n v="0"/>
    <n v="50"/>
    <n v="150"/>
    <n v="0"/>
    <n v="150"/>
    <x v="1"/>
    <x v="4"/>
  </r>
  <r>
    <x v="182"/>
    <x v="54"/>
    <x v="1"/>
    <x v="29"/>
    <s v="13-05-2023"/>
    <x v="3"/>
    <x v="0"/>
    <x v="1"/>
    <x v="1"/>
    <x v="1"/>
    <s v="No"/>
    <x v="1"/>
    <x v="0"/>
    <n v="0"/>
    <n v="150"/>
    <n v="200"/>
    <n v="0"/>
    <n v="0"/>
    <n v="350"/>
    <n v="0"/>
    <n v="350"/>
    <x v="0"/>
    <x v="4"/>
  </r>
  <r>
    <x v="183"/>
    <x v="12"/>
    <x v="1"/>
    <x v="17"/>
    <s v="13-05-2023"/>
    <x v="2"/>
    <x v="0"/>
    <x v="1"/>
    <x v="1"/>
    <x v="1"/>
    <s v="No"/>
    <x v="1"/>
    <x v="2"/>
    <n v="0"/>
    <n v="150"/>
    <n v="200"/>
    <n v="0"/>
    <n v="0"/>
    <n v="350"/>
    <n v="0"/>
    <n v="350"/>
    <x v="1"/>
    <x v="4"/>
  </r>
  <r>
    <x v="184"/>
    <x v="77"/>
    <x v="0"/>
    <x v="71"/>
    <s v="16-05-2023"/>
    <x v="1"/>
    <x v="0"/>
    <x v="3"/>
    <x v="3"/>
    <x v="1"/>
    <s v="No"/>
    <x v="0"/>
    <x v="0"/>
    <n v="0"/>
    <n v="0"/>
    <n v="200"/>
    <n v="0"/>
    <n v="0"/>
    <n v="200"/>
    <n v="0"/>
    <n v="200"/>
    <x v="2"/>
    <x v="4"/>
  </r>
  <r>
    <x v="185"/>
    <x v="40"/>
    <x v="0"/>
    <x v="59"/>
    <s v="16-05-2023"/>
    <x v="2"/>
    <x v="1"/>
    <x v="9"/>
    <x v="9"/>
    <x v="7"/>
    <s v="No"/>
    <x v="1"/>
    <x v="0"/>
    <n v="2792"/>
    <n v="0"/>
    <n v="0"/>
    <n v="1060"/>
    <n v="0"/>
    <n v="2792"/>
    <n v="0"/>
    <n v="1732"/>
    <x v="2"/>
    <x v="4"/>
  </r>
  <r>
    <x v="186"/>
    <x v="19"/>
    <x v="1"/>
    <x v="20"/>
    <s v="18-05-2023"/>
    <x v="4"/>
    <x v="1"/>
    <x v="2"/>
    <x v="2"/>
    <x v="2"/>
    <s v="No"/>
    <x v="1"/>
    <x v="0"/>
    <n v="769"/>
    <n v="0"/>
    <n v="0"/>
    <n v="0"/>
    <n v="0"/>
    <n v="769"/>
    <n v="0"/>
    <n v="769"/>
    <x v="3"/>
    <x v="4"/>
  </r>
  <r>
    <x v="187"/>
    <x v="25"/>
    <x v="1"/>
    <x v="45"/>
    <s v="18-05-2023"/>
    <x v="0"/>
    <x v="0"/>
    <x v="8"/>
    <x v="8"/>
    <x v="6"/>
    <s v="No"/>
    <x v="0"/>
    <x v="0"/>
    <n v="4005"/>
    <n v="0"/>
    <n v="0"/>
    <n v="0"/>
    <n v="0"/>
    <n v="4005"/>
    <n v="0"/>
    <n v="4005"/>
    <x v="1"/>
    <x v="4"/>
  </r>
  <r>
    <x v="188"/>
    <x v="54"/>
    <x v="1"/>
    <x v="72"/>
    <s v="19-05-2023"/>
    <x v="2"/>
    <x v="0"/>
    <x v="1"/>
    <x v="1"/>
    <x v="1"/>
    <s v="No"/>
    <x v="1"/>
    <x v="0"/>
    <n v="0"/>
    <n v="150"/>
    <n v="200"/>
    <n v="0"/>
    <n v="0"/>
    <n v="350"/>
    <n v="0"/>
    <n v="350"/>
    <x v="2"/>
    <x v="4"/>
  </r>
  <r>
    <x v="189"/>
    <x v="42"/>
    <x v="0"/>
    <x v="73"/>
    <s v="20-05-2023"/>
    <x v="2"/>
    <x v="0"/>
    <x v="1"/>
    <x v="1"/>
    <x v="1"/>
    <s v="No"/>
    <x v="1"/>
    <x v="0"/>
    <n v="0"/>
    <n v="150"/>
    <n v="200"/>
    <n v="0"/>
    <n v="140"/>
    <n v="210"/>
    <n v="0"/>
    <n v="210"/>
    <x v="3"/>
    <x v="4"/>
  </r>
  <r>
    <x v="190"/>
    <x v="78"/>
    <x v="0"/>
    <x v="42"/>
    <s v="22-05-2023"/>
    <x v="2"/>
    <x v="0"/>
    <x v="4"/>
    <x v="4"/>
    <x v="3"/>
    <s v="No"/>
    <x v="0"/>
    <x v="0"/>
    <n v="1248"/>
    <n v="0"/>
    <n v="0"/>
    <n v="0"/>
    <n v="0"/>
    <n v="1248"/>
    <n v="0"/>
    <n v="1248"/>
    <x v="1"/>
    <x v="4"/>
  </r>
  <r>
    <x v="191"/>
    <x v="15"/>
    <x v="1"/>
    <x v="67"/>
    <s v="22-05-2023"/>
    <x v="8"/>
    <x v="0"/>
    <x v="3"/>
    <x v="3"/>
    <x v="1"/>
    <s v="No"/>
    <x v="0"/>
    <x v="0"/>
    <n v="0"/>
    <n v="0"/>
    <n v="200"/>
    <n v="0"/>
    <n v="0"/>
    <n v="200"/>
    <n v="0"/>
    <n v="200"/>
    <x v="3"/>
    <x v="4"/>
  </r>
  <r>
    <x v="192"/>
    <x v="80"/>
    <x v="1"/>
    <x v="54"/>
    <s v="23-05-2023"/>
    <x v="2"/>
    <x v="0"/>
    <x v="3"/>
    <x v="3"/>
    <x v="1"/>
    <s v="No"/>
    <x v="0"/>
    <x v="1"/>
    <n v="0"/>
    <n v="0"/>
    <n v="200"/>
    <n v="0"/>
    <n v="0"/>
    <n v="200"/>
    <n v="0"/>
    <n v="200"/>
    <x v="3"/>
    <x v="4"/>
  </r>
  <r>
    <x v="193"/>
    <x v="76"/>
    <x v="1"/>
    <x v="46"/>
    <s v="23-05-2023"/>
    <x v="2"/>
    <x v="0"/>
    <x v="1"/>
    <x v="1"/>
    <x v="1"/>
    <s v="No"/>
    <x v="1"/>
    <x v="2"/>
    <n v="0"/>
    <n v="150"/>
    <n v="200"/>
    <n v="0"/>
    <n v="0"/>
    <n v="350"/>
    <n v="0"/>
    <n v="350"/>
    <x v="3"/>
    <x v="4"/>
  </r>
  <r>
    <x v="194"/>
    <x v="9"/>
    <x v="0"/>
    <x v="43"/>
    <s v="24-05-2023"/>
    <x v="5"/>
    <x v="0"/>
    <x v="3"/>
    <x v="3"/>
    <x v="1"/>
    <s v="No"/>
    <x v="0"/>
    <x v="2"/>
    <n v="0"/>
    <n v="0"/>
    <n v="200"/>
    <n v="0"/>
    <n v="0"/>
    <n v="200"/>
    <n v="0"/>
    <n v="200"/>
    <x v="1"/>
    <x v="4"/>
  </r>
  <r>
    <x v="195"/>
    <x v="33"/>
    <x v="0"/>
    <x v="25"/>
    <s v="25-05-2023"/>
    <x v="2"/>
    <x v="0"/>
    <x v="1"/>
    <x v="1"/>
    <x v="1"/>
    <s v="No"/>
    <x v="1"/>
    <x v="2"/>
    <n v="0"/>
    <n v="150"/>
    <n v="200"/>
    <n v="0"/>
    <n v="50"/>
    <n v="300"/>
    <n v="0"/>
    <n v="300"/>
    <x v="1"/>
    <x v="4"/>
  </r>
  <r>
    <x v="196"/>
    <x v="40"/>
    <x v="0"/>
    <x v="7"/>
    <s v="25-05-2023"/>
    <x v="1"/>
    <x v="1"/>
    <x v="3"/>
    <x v="3"/>
    <x v="1"/>
    <s v="No"/>
    <x v="0"/>
    <x v="0"/>
    <n v="0"/>
    <n v="0"/>
    <n v="200"/>
    <n v="0"/>
    <n v="0"/>
    <n v="200"/>
    <n v="0"/>
    <n v="200"/>
    <x v="1"/>
    <x v="4"/>
  </r>
  <r>
    <x v="197"/>
    <x v="73"/>
    <x v="1"/>
    <x v="11"/>
    <s v="25-05-2023"/>
    <x v="1"/>
    <x v="0"/>
    <x v="3"/>
    <x v="3"/>
    <x v="1"/>
    <s v="No"/>
    <x v="0"/>
    <x v="0"/>
    <n v="0"/>
    <n v="0"/>
    <n v="200"/>
    <n v="0"/>
    <n v="0"/>
    <n v="200"/>
    <n v="0"/>
    <n v="200"/>
    <x v="3"/>
    <x v="4"/>
  </r>
  <r>
    <x v="198"/>
    <x v="32"/>
    <x v="1"/>
    <x v="29"/>
    <s v="26-05-2023"/>
    <x v="5"/>
    <x v="0"/>
    <x v="8"/>
    <x v="8"/>
    <x v="6"/>
    <s v="No"/>
    <x v="1"/>
    <x v="1"/>
    <n v="3236"/>
    <n v="0"/>
    <n v="0"/>
    <n v="0"/>
    <n v="200"/>
    <n v="3036"/>
    <n v="0"/>
    <n v="3036"/>
    <x v="1"/>
    <x v="4"/>
  </r>
  <r>
    <x v="199"/>
    <x v="50"/>
    <x v="1"/>
    <x v="19"/>
    <s v="29-05-2023"/>
    <x v="1"/>
    <x v="0"/>
    <x v="3"/>
    <x v="3"/>
    <x v="1"/>
    <s v="No"/>
    <x v="0"/>
    <x v="0"/>
    <n v="0"/>
    <n v="0"/>
    <n v="200"/>
    <n v="0"/>
    <n v="0"/>
    <n v="200"/>
    <n v="0"/>
    <n v="200"/>
    <x v="3"/>
    <x v="4"/>
  </r>
  <r>
    <x v="200"/>
    <x v="7"/>
    <x v="1"/>
    <x v="29"/>
    <s v="30-05-2023"/>
    <x v="2"/>
    <x v="1"/>
    <x v="1"/>
    <x v="1"/>
    <x v="1"/>
    <s v="No"/>
    <x v="1"/>
    <x v="1"/>
    <n v="0"/>
    <n v="150"/>
    <n v="200"/>
    <n v="0"/>
    <n v="0"/>
    <n v="350"/>
    <n v="0"/>
    <n v="350"/>
    <x v="0"/>
    <x v="4"/>
  </r>
  <r>
    <x v="201"/>
    <x v="81"/>
    <x v="0"/>
    <x v="62"/>
    <s v="31-05-2023"/>
    <x v="2"/>
    <x v="0"/>
    <x v="1"/>
    <x v="1"/>
    <x v="1"/>
    <s v="No"/>
    <x v="1"/>
    <x v="0"/>
    <n v="0"/>
    <n v="150"/>
    <n v="200"/>
    <n v="0"/>
    <n v="0"/>
    <n v="350"/>
    <n v="0"/>
    <n v="350"/>
    <x v="3"/>
    <x v="4"/>
  </r>
  <r>
    <x v="202"/>
    <x v="45"/>
    <x v="0"/>
    <x v="34"/>
    <s v="31-05-2023"/>
    <x v="1"/>
    <x v="0"/>
    <x v="1"/>
    <x v="1"/>
    <x v="1"/>
    <s v="No"/>
    <x v="1"/>
    <x v="0"/>
    <n v="0"/>
    <n v="150"/>
    <n v="200"/>
    <n v="0"/>
    <n v="0"/>
    <n v="350"/>
    <n v="0"/>
    <n v="350"/>
    <x v="3"/>
    <x v="4"/>
  </r>
  <r>
    <x v="203"/>
    <x v="20"/>
    <x v="0"/>
    <x v="9"/>
    <d v="2023-01-06T00:00:00"/>
    <x v="1"/>
    <x v="0"/>
    <x v="0"/>
    <x v="0"/>
    <x v="0"/>
    <s v="No"/>
    <x v="1"/>
    <x v="0"/>
    <n v="461"/>
    <n v="0"/>
    <n v="0"/>
    <n v="0"/>
    <n v="0"/>
    <n v="461"/>
    <n v="0"/>
    <n v="461"/>
    <x v="3"/>
    <x v="5"/>
  </r>
  <r>
    <x v="204"/>
    <x v="82"/>
    <x v="1"/>
    <x v="46"/>
    <d v="2023-01-06T00:00:00"/>
    <x v="2"/>
    <x v="0"/>
    <x v="1"/>
    <x v="1"/>
    <x v="1"/>
    <s v="No"/>
    <x v="1"/>
    <x v="0"/>
    <n v="0"/>
    <n v="150"/>
    <n v="200"/>
    <n v="0"/>
    <n v="0"/>
    <n v="350"/>
    <n v="0"/>
    <n v="350"/>
    <x v="0"/>
    <x v="5"/>
  </r>
  <r>
    <x v="205"/>
    <x v="39"/>
    <x v="0"/>
    <x v="28"/>
    <d v="2023-02-06T00:00:00"/>
    <x v="2"/>
    <x v="1"/>
    <x v="3"/>
    <x v="3"/>
    <x v="1"/>
    <s v="No"/>
    <x v="0"/>
    <x v="1"/>
    <n v="0"/>
    <n v="0"/>
    <n v="200"/>
    <n v="0"/>
    <n v="0"/>
    <n v="200"/>
    <n v="0"/>
    <n v="200"/>
    <x v="1"/>
    <x v="5"/>
  </r>
  <r>
    <x v="206"/>
    <x v="69"/>
    <x v="0"/>
    <x v="26"/>
    <d v="2023-05-06T00:00:00"/>
    <x v="5"/>
    <x v="0"/>
    <x v="3"/>
    <x v="3"/>
    <x v="1"/>
    <s v="No"/>
    <x v="0"/>
    <x v="0"/>
    <n v="0"/>
    <n v="0"/>
    <n v="200"/>
    <n v="0"/>
    <n v="0"/>
    <n v="200"/>
    <n v="0"/>
    <n v="200"/>
    <x v="3"/>
    <x v="5"/>
  </r>
  <r>
    <x v="207"/>
    <x v="46"/>
    <x v="0"/>
    <x v="66"/>
    <d v="2023-05-06T00:00:00"/>
    <x v="13"/>
    <x v="1"/>
    <x v="0"/>
    <x v="0"/>
    <x v="0"/>
    <s v="No"/>
    <x v="1"/>
    <x v="0"/>
    <n v="511"/>
    <n v="0"/>
    <n v="0"/>
    <n v="0"/>
    <n v="0"/>
    <n v="511"/>
    <n v="0"/>
    <n v="511"/>
    <x v="3"/>
    <x v="5"/>
  </r>
  <r>
    <x v="208"/>
    <x v="71"/>
    <x v="0"/>
    <x v="16"/>
    <d v="2023-06-06T00:00:00"/>
    <x v="7"/>
    <x v="0"/>
    <x v="3"/>
    <x v="3"/>
    <x v="1"/>
    <s v="No"/>
    <x v="0"/>
    <x v="2"/>
    <n v="0"/>
    <n v="0"/>
    <n v="200"/>
    <n v="0"/>
    <n v="80"/>
    <n v="120"/>
    <n v="0"/>
    <n v="120"/>
    <x v="1"/>
    <x v="5"/>
  </r>
  <r>
    <x v="209"/>
    <x v="20"/>
    <x v="0"/>
    <x v="71"/>
    <d v="2023-06-06T00:00:00"/>
    <x v="1"/>
    <x v="1"/>
    <x v="0"/>
    <x v="0"/>
    <x v="0"/>
    <s v="No"/>
    <x v="1"/>
    <x v="0"/>
    <n v="609"/>
    <n v="0"/>
    <n v="0"/>
    <n v="0"/>
    <n v="0"/>
    <n v="609"/>
    <n v="0"/>
    <n v="609"/>
    <x v="1"/>
    <x v="5"/>
  </r>
  <r>
    <x v="210"/>
    <x v="70"/>
    <x v="1"/>
    <x v="27"/>
    <d v="2023-07-06T00:00:00"/>
    <x v="6"/>
    <x v="1"/>
    <x v="3"/>
    <x v="3"/>
    <x v="1"/>
    <s v="No"/>
    <x v="0"/>
    <x v="0"/>
    <n v="0"/>
    <n v="0"/>
    <n v="200"/>
    <n v="0"/>
    <n v="0"/>
    <n v="200"/>
    <n v="0"/>
    <n v="200"/>
    <x v="1"/>
    <x v="5"/>
  </r>
  <r>
    <x v="211"/>
    <x v="83"/>
    <x v="0"/>
    <x v="8"/>
    <d v="2023-08-06T00:00:00"/>
    <x v="0"/>
    <x v="0"/>
    <x v="4"/>
    <x v="4"/>
    <x v="3"/>
    <s v="No"/>
    <x v="1"/>
    <x v="0"/>
    <n v="1433"/>
    <n v="0"/>
    <n v="0"/>
    <n v="0"/>
    <n v="573.20000000000005"/>
    <n v="859.8"/>
    <n v="0"/>
    <n v="859.8"/>
    <x v="3"/>
    <x v="5"/>
  </r>
  <r>
    <x v="212"/>
    <x v="42"/>
    <x v="0"/>
    <x v="0"/>
    <d v="2023-08-06T00:00:00"/>
    <x v="5"/>
    <x v="0"/>
    <x v="1"/>
    <x v="1"/>
    <x v="1"/>
    <s v="No"/>
    <x v="1"/>
    <x v="2"/>
    <n v="0"/>
    <n v="150"/>
    <n v="200"/>
    <n v="0"/>
    <n v="0"/>
    <n v="350"/>
    <n v="0"/>
    <n v="350"/>
    <x v="3"/>
    <x v="5"/>
  </r>
  <r>
    <x v="213"/>
    <x v="84"/>
    <x v="1"/>
    <x v="56"/>
    <d v="2023-08-06T00:00:00"/>
    <x v="2"/>
    <x v="0"/>
    <x v="4"/>
    <x v="4"/>
    <x v="3"/>
    <s v="No"/>
    <x v="0"/>
    <x v="0"/>
    <n v="1637"/>
    <n v="0"/>
    <n v="0"/>
    <n v="0"/>
    <n v="0"/>
    <n v="1071"/>
    <n v="566"/>
    <n v="1071"/>
    <x v="1"/>
    <x v="5"/>
  </r>
  <r>
    <x v="214"/>
    <x v="22"/>
    <x v="1"/>
    <x v="74"/>
    <d v="2023-09-06T00:00:00"/>
    <x v="0"/>
    <x v="1"/>
    <x v="1"/>
    <x v="1"/>
    <x v="1"/>
    <s v="No"/>
    <x v="1"/>
    <x v="0"/>
    <n v="0"/>
    <n v="150"/>
    <n v="200"/>
    <n v="0"/>
    <n v="0"/>
    <n v="350"/>
    <n v="0"/>
    <n v="350"/>
    <x v="0"/>
    <x v="5"/>
  </r>
  <r>
    <x v="215"/>
    <x v="40"/>
    <x v="0"/>
    <x v="64"/>
    <d v="2023-09-06T00:00:00"/>
    <x v="2"/>
    <x v="1"/>
    <x v="9"/>
    <x v="9"/>
    <x v="7"/>
    <s v="No"/>
    <x v="1"/>
    <x v="0"/>
    <n v="3482"/>
    <n v="0"/>
    <n v="0"/>
    <n v="920"/>
    <n v="0"/>
    <n v="3482"/>
    <n v="0"/>
    <n v="2562"/>
    <x v="2"/>
    <x v="5"/>
  </r>
  <r>
    <x v="216"/>
    <x v="15"/>
    <x v="1"/>
    <x v="8"/>
    <d v="2023-09-06T00:00:00"/>
    <x v="7"/>
    <x v="0"/>
    <x v="1"/>
    <x v="1"/>
    <x v="1"/>
    <s v="No"/>
    <x v="1"/>
    <x v="0"/>
    <n v="0"/>
    <n v="150"/>
    <n v="200"/>
    <n v="0"/>
    <n v="0"/>
    <n v="350"/>
    <n v="0"/>
    <n v="350"/>
    <x v="0"/>
    <x v="5"/>
  </r>
  <r>
    <x v="217"/>
    <x v="70"/>
    <x v="1"/>
    <x v="17"/>
    <d v="2023-11-06T00:00:00"/>
    <x v="1"/>
    <x v="0"/>
    <x v="1"/>
    <x v="1"/>
    <x v="1"/>
    <s v="No"/>
    <x v="1"/>
    <x v="0"/>
    <n v="0"/>
    <n v="150"/>
    <n v="200"/>
    <n v="0"/>
    <n v="0"/>
    <n v="350"/>
    <n v="0"/>
    <n v="350"/>
    <x v="0"/>
    <x v="5"/>
  </r>
  <r>
    <x v="218"/>
    <x v="21"/>
    <x v="0"/>
    <x v="35"/>
    <s v="13-06-2023"/>
    <x v="2"/>
    <x v="0"/>
    <x v="0"/>
    <x v="0"/>
    <x v="0"/>
    <s v="No"/>
    <x v="0"/>
    <x v="0"/>
    <n v="677"/>
    <n v="0"/>
    <n v="0"/>
    <n v="0"/>
    <n v="270.8"/>
    <n v="406.2"/>
    <n v="0"/>
    <n v="406.2"/>
    <x v="1"/>
    <x v="5"/>
  </r>
  <r>
    <x v="219"/>
    <x v="21"/>
    <x v="0"/>
    <x v="17"/>
    <s v="14-06-2023"/>
    <x v="1"/>
    <x v="0"/>
    <x v="4"/>
    <x v="4"/>
    <x v="3"/>
    <s v="No"/>
    <x v="0"/>
    <x v="2"/>
    <n v="1744"/>
    <n v="0"/>
    <n v="0"/>
    <n v="0"/>
    <n v="500"/>
    <n v="1244"/>
    <n v="0"/>
    <n v="1244"/>
    <x v="1"/>
    <x v="5"/>
  </r>
  <r>
    <x v="220"/>
    <x v="34"/>
    <x v="1"/>
    <x v="38"/>
    <s v="15-06-2023"/>
    <x v="0"/>
    <x v="1"/>
    <x v="0"/>
    <x v="0"/>
    <x v="0"/>
    <s v="No"/>
    <x v="0"/>
    <x v="0"/>
    <n v="417"/>
    <n v="0"/>
    <n v="0"/>
    <n v="0"/>
    <n v="166.8"/>
    <n v="250.2"/>
    <n v="0"/>
    <n v="250.2"/>
    <x v="1"/>
    <x v="5"/>
  </r>
  <r>
    <x v="221"/>
    <x v="40"/>
    <x v="0"/>
    <x v="32"/>
    <s v="15-06-2023"/>
    <x v="5"/>
    <x v="0"/>
    <x v="1"/>
    <x v="1"/>
    <x v="1"/>
    <s v="No"/>
    <x v="1"/>
    <x v="0"/>
    <n v="0"/>
    <n v="150"/>
    <n v="200"/>
    <n v="0"/>
    <n v="140"/>
    <n v="210"/>
    <n v="0"/>
    <n v="210"/>
    <x v="2"/>
    <x v="5"/>
  </r>
  <r>
    <x v="222"/>
    <x v="72"/>
    <x v="0"/>
    <x v="59"/>
    <s v="15-06-2023"/>
    <x v="2"/>
    <x v="0"/>
    <x v="1"/>
    <x v="1"/>
    <x v="1"/>
    <s v="No"/>
    <x v="1"/>
    <x v="0"/>
    <n v="0"/>
    <n v="150"/>
    <n v="200"/>
    <n v="0"/>
    <n v="0"/>
    <n v="350"/>
    <n v="0"/>
    <n v="350"/>
    <x v="1"/>
    <x v="5"/>
  </r>
  <r>
    <x v="223"/>
    <x v="79"/>
    <x v="1"/>
    <x v="5"/>
    <s v="17-06-2023"/>
    <x v="2"/>
    <x v="1"/>
    <x v="5"/>
    <x v="5"/>
    <x v="4"/>
    <s v="No"/>
    <x v="1"/>
    <x v="2"/>
    <n v="712"/>
    <n v="0"/>
    <n v="0"/>
    <n v="0"/>
    <n v="0"/>
    <n v="712"/>
    <n v="0"/>
    <n v="712"/>
    <x v="3"/>
    <x v="5"/>
  </r>
  <r>
    <x v="224"/>
    <x v="85"/>
    <x v="0"/>
    <x v="22"/>
    <s v="19-06-2023"/>
    <x v="1"/>
    <x v="0"/>
    <x v="4"/>
    <x v="4"/>
    <x v="3"/>
    <s v="No"/>
    <x v="0"/>
    <x v="0"/>
    <n v="1672"/>
    <n v="0"/>
    <n v="0"/>
    <n v="0"/>
    <n v="0"/>
    <n v="1672"/>
    <n v="0"/>
    <n v="1672"/>
    <x v="0"/>
    <x v="5"/>
  </r>
  <r>
    <x v="225"/>
    <x v="73"/>
    <x v="1"/>
    <x v="12"/>
    <s v="19-06-2023"/>
    <x v="2"/>
    <x v="1"/>
    <x v="2"/>
    <x v="2"/>
    <x v="2"/>
    <s v="No"/>
    <x v="1"/>
    <x v="0"/>
    <n v="749"/>
    <n v="0"/>
    <n v="0"/>
    <n v="0"/>
    <n v="0"/>
    <n v="749"/>
    <n v="0"/>
    <n v="749"/>
    <x v="2"/>
    <x v="5"/>
  </r>
  <r>
    <x v="226"/>
    <x v="86"/>
    <x v="0"/>
    <x v="35"/>
    <s v="20-06-2023"/>
    <x v="8"/>
    <x v="0"/>
    <x v="4"/>
    <x v="4"/>
    <x v="3"/>
    <s v="No"/>
    <x v="1"/>
    <x v="0"/>
    <n v="1760"/>
    <n v="0"/>
    <n v="0"/>
    <n v="0"/>
    <n v="200"/>
    <n v="1282"/>
    <n v="278"/>
    <n v="1282"/>
    <x v="3"/>
    <x v="5"/>
  </r>
  <r>
    <x v="227"/>
    <x v="43"/>
    <x v="0"/>
    <x v="62"/>
    <s v="20-06-2023"/>
    <x v="1"/>
    <x v="0"/>
    <x v="0"/>
    <x v="0"/>
    <x v="0"/>
    <s v="No"/>
    <x v="1"/>
    <x v="0"/>
    <n v="642"/>
    <n v="0"/>
    <n v="0"/>
    <n v="0"/>
    <n v="0"/>
    <n v="642"/>
    <n v="0"/>
    <n v="642"/>
    <x v="1"/>
    <x v="5"/>
  </r>
  <r>
    <x v="228"/>
    <x v="60"/>
    <x v="0"/>
    <x v="32"/>
    <s v="22-06-2023"/>
    <x v="2"/>
    <x v="0"/>
    <x v="3"/>
    <x v="3"/>
    <x v="1"/>
    <s v="No"/>
    <x v="0"/>
    <x v="1"/>
    <n v="0"/>
    <n v="0"/>
    <n v="200"/>
    <n v="0"/>
    <n v="0"/>
    <n v="200"/>
    <n v="0"/>
    <n v="200"/>
    <x v="2"/>
    <x v="5"/>
  </r>
  <r>
    <x v="229"/>
    <x v="61"/>
    <x v="1"/>
    <x v="43"/>
    <s v="22-06-2023"/>
    <x v="7"/>
    <x v="1"/>
    <x v="9"/>
    <x v="9"/>
    <x v="7"/>
    <s v="No"/>
    <x v="1"/>
    <x v="0"/>
    <n v="2456"/>
    <n v="0"/>
    <n v="0"/>
    <n v="970"/>
    <n v="0"/>
    <n v="2456"/>
    <n v="0"/>
    <n v="1486"/>
    <x v="1"/>
    <x v="5"/>
  </r>
  <r>
    <x v="230"/>
    <x v="45"/>
    <x v="0"/>
    <x v="13"/>
    <s v="22-06-2023"/>
    <x v="1"/>
    <x v="0"/>
    <x v="1"/>
    <x v="1"/>
    <x v="1"/>
    <s v="No"/>
    <x v="1"/>
    <x v="0"/>
    <n v="0"/>
    <n v="150"/>
    <n v="200"/>
    <n v="0"/>
    <n v="0"/>
    <n v="350"/>
    <n v="0"/>
    <n v="350"/>
    <x v="1"/>
    <x v="5"/>
  </r>
  <r>
    <x v="231"/>
    <x v="7"/>
    <x v="1"/>
    <x v="41"/>
    <s v="23-06-2023"/>
    <x v="5"/>
    <x v="1"/>
    <x v="9"/>
    <x v="9"/>
    <x v="7"/>
    <s v="No"/>
    <x v="0"/>
    <x v="0"/>
    <n v="3087"/>
    <n v="0"/>
    <n v="0"/>
    <n v="1270"/>
    <n v="0"/>
    <n v="3087"/>
    <n v="0"/>
    <n v="1817"/>
    <x v="1"/>
    <x v="5"/>
  </r>
  <r>
    <x v="232"/>
    <x v="20"/>
    <x v="0"/>
    <x v="27"/>
    <s v="24-06-2023"/>
    <x v="5"/>
    <x v="1"/>
    <x v="5"/>
    <x v="5"/>
    <x v="4"/>
    <s v="No"/>
    <x v="0"/>
    <x v="0"/>
    <n v="801"/>
    <n v="0"/>
    <n v="0"/>
    <n v="0"/>
    <n v="0"/>
    <n v="801"/>
    <n v="0"/>
    <n v="801"/>
    <x v="2"/>
    <x v="5"/>
  </r>
  <r>
    <x v="233"/>
    <x v="69"/>
    <x v="0"/>
    <x v="47"/>
    <s v="24-06-2023"/>
    <x v="2"/>
    <x v="0"/>
    <x v="3"/>
    <x v="3"/>
    <x v="1"/>
    <s v="No"/>
    <x v="0"/>
    <x v="0"/>
    <n v="0"/>
    <n v="0"/>
    <n v="200"/>
    <n v="0"/>
    <n v="80"/>
    <n v="120"/>
    <n v="0"/>
    <n v="120"/>
    <x v="3"/>
    <x v="5"/>
  </r>
  <r>
    <x v="234"/>
    <x v="56"/>
    <x v="0"/>
    <x v="12"/>
    <s v="26-06-2023"/>
    <x v="1"/>
    <x v="0"/>
    <x v="1"/>
    <x v="1"/>
    <x v="1"/>
    <s v="No"/>
    <x v="1"/>
    <x v="0"/>
    <n v="0"/>
    <n v="150"/>
    <n v="200"/>
    <n v="0"/>
    <n v="0"/>
    <n v="350"/>
    <n v="0"/>
    <n v="350"/>
    <x v="1"/>
    <x v="5"/>
  </r>
  <r>
    <x v="235"/>
    <x v="23"/>
    <x v="1"/>
    <x v="72"/>
    <s v="27-06-2023"/>
    <x v="8"/>
    <x v="0"/>
    <x v="3"/>
    <x v="3"/>
    <x v="1"/>
    <s v="No"/>
    <x v="0"/>
    <x v="0"/>
    <n v="0"/>
    <n v="0"/>
    <n v="200"/>
    <n v="0"/>
    <n v="0"/>
    <n v="200"/>
    <n v="0"/>
    <n v="200"/>
    <x v="1"/>
    <x v="5"/>
  </r>
  <r>
    <x v="236"/>
    <x v="20"/>
    <x v="0"/>
    <x v="1"/>
    <s v="28-06-2023"/>
    <x v="1"/>
    <x v="0"/>
    <x v="0"/>
    <x v="0"/>
    <x v="0"/>
    <s v="No"/>
    <x v="0"/>
    <x v="0"/>
    <n v="609"/>
    <n v="0"/>
    <n v="0"/>
    <n v="0"/>
    <n v="0"/>
    <n v="609"/>
    <n v="0"/>
    <n v="609"/>
    <x v="0"/>
    <x v="5"/>
  </r>
  <r>
    <x v="237"/>
    <x v="29"/>
    <x v="1"/>
    <x v="52"/>
    <s v="28-06-2023"/>
    <x v="5"/>
    <x v="0"/>
    <x v="0"/>
    <x v="0"/>
    <x v="0"/>
    <s v="No"/>
    <x v="0"/>
    <x v="0"/>
    <n v="675"/>
    <n v="0"/>
    <n v="0"/>
    <n v="0"/>
    <n v="0"/>
    <n v="675"/>
    <n v="0"/>
    <n v="675"/>
    <x v="3"/>
    <x v="5"/>
  </r>
  <r>
    <x v="238"/>
    <x v="19"/>
    <x v="1"/>
    <x v="28"/>
    <s v="30-06-2023"/>
    <x v="2"/>
    <x v="1"/>
    <x v="2"/>
    <x v="2"/>
    <x v="2"/>
    <s v="No"/>
    <x v="0"/>
    <x v="2"/>
    <n v="630"/>
    <n v="0"/>
    <n v="0"/>
    <n v="0"/>
    <n v="0"/>
    <n v="630"/>
    <n v="0"/>
    <n v="630"/>
    <x v="1"/>
    <x v="5"/>
  </r>
  <r>
    <x v="239"/>
    <x v="31"/>
    <x v="0"/>
    <x v="49"/>
    <d v="2023-03-07T00:00:00"/>
    <x v="2"/>
    <x v="0"/>
    <x v="0"/>
    <x v="0"/>
    <x v="0"/>
    <s v="No"/>
    <x v="1"/>
    <x v="0"/>
    <n v="590"/>
    <n v="0"/>
    <n v="0"/>
    <n v="0"/>
    <n v="0"/>
    <n v="590"/>
    <n v="0"/>
    <n v="590"/>
    <x v="3"/>
    <x v="6"/>
  </r>
  <r>
    <x v="240"/>
    <x v="82"/>
    <x v="1"/>
    <x v="69"/>
    <d v="2023-03-07T00:00:00"/>
    <x v="0"/>
    <x v="0"/>
    <x v="3"/>
    <x v="3"/>
    <x v="1"/>
    <s v="No"/>
    <x v="0"/>
    <x v="0"/>
    <n v="0"/>
    <n v="0"/>
    <n v="200"/>
    <n v="0"/>
    <n v="0"/>
    <n v="200"/>
    <n v="0"/>
    <n v="200"/>
    <x v="1"/>
    <x v="6"/>
  </r>
  <r>
    <x v="241"/>
    <x v="16"/>
    <x v="0"/>
    <x v="71"/>
    <d v="2023-04-07T00:00:00"/>
    <x v="5"/>
    <x v="0"/>
    <x v="0"/>
    <x v="0"/>
    <x v="0"/>
    <s v="No"/>
    <x v="1"/>
    <x v="1"/>
    <n v="598"/>
    <n v="0"/>
    <n v="0"/>
    <n v="0"/>
    <n v="0"/>
    <n v="598"/>
    <n v="0"/>
    <n v="598"/>
    <x v="3"/>
    <x v="6"/>
  </r>
  <r>
    <x v="242"/>
    <x v="6"/>
    <x v="0"/>
    <x v="26"/>
    <d v="2023-04-07T00:00:00"/>
    <x v="5"/>
    <x v="0"/>
    <x v="1"/>
    <x v="1"/>
    <x v="1"/>
    <s v="No"/>
    <x v="1"/>
    <x v="0"/>
    <n v="0"/>
    <n v="150"/>
    <n v="200"/>
    <n v="0"/>
    <n v="0"/>
    <n v="350"/>
    <n v="0"/>
    <n v="350"/>
    <x v="1"/>
    <x v="6"/>
  </r>
  <r>
    <x v="243"/>
    <x v="59"/>
    <x v="1"/>
    <x v="52"/>
    <d v="2023-05-07T00:00:00"/>
    <x v="8"/>
    <x v="0"/>
    <x v="7"/>
    <x v="7"/>
    <x v="5"/>
    <s v="No"/>
    <x v="1"/>
    <x v="0"/>
    <n v="15653"/>
    <n v="0"/>
    <n v="0"/>
    <n v="4260"/>
    <n v="0"/>
    <n v="15653"/>
    <n v="0"/>
    <n v="11393"/>
    <x v="1"/>
    <x v="6"/>
  </r>
  <r>
    <x v="244"/>
    <x v="83"/>
    <x v="0"/>
    <x v="24"/>
    <d v="2023-06-07T00:00:00"/>
    <x v="2"/>
    <x v="0"/>
    <x v="1"/>
    <x v="1"/>
    <x v="1"/>
    <s v="No"/>
    <x v="1"/>
    <x v="0"/>
    <n v="0"/>
    <n v="150"/>
    <n v="200"/>
    <n v="0"/>
    <n v="0"/>
    <n v="350"/>
    <n v="0"/>
    <n v="350"/>
    <x v="3"/>
    <x v="6"/>
  </r>
  <r>
    <x v="245"/>
    <x v="83"/>
    <x v="0"/>
    <x v="49"/>
    <d v="2023-06-07T00:00:00"/>
    <x v="5"/>
    <x v="0"/>
    <x v="1"/>
    <x v="1"/>
    <x v="1"/>
    <s v="No"/>
    <x v="1"/>
    <x v="0"/>
    <n v="0"/>
    <n v="150"/>
    <n v="200"/>
    <n v="0"/>
    <n v="140"/>
    <n v="210"/>
    <n v="0"/>
    <n v="210"/>
    <x v="3"/>
    <x v="6"/>
  </r>
  <r>
    <x v="246"/>
    <x v="15"/>
    <x v="1"/>
    <x v="60"/>
    <d v="2023-07-07T00:00:00"/>
    <x v="2"/>
    <x v="1"/>
    <x v="3"/>
    <x v="3"/>
    <x v="1"/>
    <s v="No"/>
    <x v="0"/>
    <x v="0"/>
    <n v="0"/>
    <n v="0"/>
    <n v="200"/>
    <n v="0"/>
    <n v="0"/>
    <n v="200"/>
    <n v="0"/>
    <n v="200"/>
    <x v="1"/>
    <x v="6"/>
  </r>
  <r>
    <x v="247"/>
    <x v="20"/>
    <x v="0"/>
    <x v="70"/>
    <d v="2023-07-07T00:00:00"/>
    <x v="3"/>
    <x v="0"/>
    <x v="8"/>
    <x v="8"/>
    <x v="6"/>
    <s v="No"/>
    <x v="1"/>
    <x v="0"/>
    <n v="3105"/>
    <n v="0"/>
    <n v="0"/>
    <n v="0"/>
    <n v="200"/>
    <n v="2905"/>
    <n v="0"/>
    <n v="2905"/>
    <x v="2"/>
    <x v="6"/>
  </r>
  <r>
    <x v="248"/>
    <x v="66"/>
    <x v="1"/>
    <x v="32"/>
    <d v="2023-07-07T00:00:00"/>
    <x v="0"/>
    <x v="0"/>
    <x v="1"/>
    <x v="1"/>
    <x v="1"/>
    <s v="No"/>
    <x v="1"/>
    <x v="0"/>
    <n v="0"/>
    <n v="150"/>
    <n v="200"/>
    <n v="0"/>
    <n v="0"/>
    <n v="350"/>
    <n v="0"/>
    <n v="350"/>
    <x v="1"/>
    <x v="6"/>
  </r>
  <r>
    <x v="249"/>
    <x v="49"/>
    <x v="1"/>
    <x v="68"/>
    <d v="2023-08-07T00:00:00"/>
    <x v="1"/>
    <x v="0"/>
    <x v="3"/>
    <x v="3"/>
    <x v="1"/>
    <s v="No"/>
    <x v="0"/>
    <x v="0"/>
    <n v="0"/>
    <n v="0"/>
    <n v="200"/>
    <n v="0"/>
    <n v="80"/>
    <n v="120"/>
    <n v="0"/>
    <n v="120"/>
    <x v="3"/>
    <x v="6"/>
  </r>
  <r>
    <x v="250"/>
    <x v="79"/>
    <x v="1"/>
    <x v="68"/>
    <d v="2023-12-07T00:00:00"/>
    <x v="2"/>
    <x v="1"/>
    <x v="2"/>
    <x v="2"/>
    <x v="2"/>
    <s v="No"/>
    <x v="1"/>
    <x v="0"/>
    <n v="999"/>
    <n v="0"/>
    <n v="0"/>
    <n v="0"/>
    <n v="0"/>
    <n v="999"/>
    <n v="0"/>
    <n v="999"/>
    <x v="2"/>
    <x v="6"/>
  </r>
  <r>
    <x v="251"/>
    <x v="14"/>
    <x v="1"/>
    <x v="61"/>
    <d v="2023-12-07T00:00:00"/>
    <x v="8"/>
    <x v="0"/>
    <x v="3"/>
    <x v="3"/>
    <x v="1"/>
    <s v="No"/>
    <x v="0"/>
    <x v="0"/>
    <n v="0"/>
    <n v="0"/>
    <n v="200"/>
    <n v="0"/>
    <n v="0"/>
    <n v="200"/>
    <n v="0"/>
    <n v="200"/>
    <x v="1"/>
    <x v="6"/>
  </r>
  <r>
    <x v="252"/>
    <x v="41"/>
    <x v="0"/>
    <x v="71"/>
    <s v="13-07-2023"/>
    <x v="5"/>
    <x v="0"/>
    <x v="3"/>
    <x v="3"/>
    <x v="1"/>
    <s v="No"/>
    <x v="0"/>
    <x v="0"/>
    <n v="0"/>
    <n v="0"/>
    <n v="200"/>
    <n v="0"/>
    <n v="0"/>
    <n v="200"/>
    <n v="0"/>
    <n v="200"/>
    <x v="3"/>
    <x v="6"/>
  </r>
  <r>
    <x v="253"/>
    <x v="70"/>
    <x v="1"/>
    <x v="46"/>
    <s v="14-07-2023"/>
    <x v="8"/>
    <x v="1"/>
    <x v="1"/>
    <x v="1"/>
    <x v="1"/>
    <s v="No"/>
    <x v="1"/>
    <x v="0"/>
    <n v="0"/>
    <n v="150"/>
    <n v="200"/>
    <n v="0"/>
    <n v="140"/>
    <n v="210"/>
    <n v="0"/>
    <n v="210"/>
    <x v="3"/>
    <x v="6"/>
  </r>
  <r>
    <x v="254"/>
    <x v="64"/>
    <x v="1"/>
    <x v="21"/>
    <s v="18-07-2023"/>
    <x v="1"/>
    <x v="0"/>
    <x v="1"/>
    <x v="1"/>
    <x v="1"/>
    <s v="No"/>
    <x v="1"/>
    <x v="1"/>
    <n v="0"/>
    <n v="150"/>
    <n v="200"/>
    <n v="0"/>
    <n v="140"/>
    <n v="210"/>
    <n v="0"/>
    <n v="210"/>
    <x v="3"/>
    <x v="6"/>
  </r>
  <r>
    <x v="255"/>
    <x v="29"/>
    <x v="1"/>
    <x v="63"/>
    <s v="18-07-2023"/>
    <x v="2"/>
    <x v="0"/>
    <x v="7"/>
    <x v="7"/>
    <x v="5"/>
    <s v="No"/>
    <x v="1"/>
    <x v="2"/>
    <n v="17409"/>
    <n v="0"/>
    <n v="0"/>
    <n v="3360"/>
    <n v="300"/>
    <n v="17109"/>
    <n v="0"/>
    <n v="13749"/>
    <x v="3"/>
    <x v="6"/>
  </r>
  <r>
    <x v="256"/>
    <x v="22"/>
    <x v="1"/>
    <x v="29"/>
    <s v="19-07-2023"/>
    <x v="13"/>
    <x v="0"/>
    <x v="3"/>
    <x v="3"/>
    <x v="1"/>
    <s v="No"/>
    <x v="0"/>
    <x v="0"/>
    <n v="0"/>
    <n v="0"/>
    <n v="200"/>
    <n v="0"/>
    <n v="80"/>
    <n v="120"/>
    <n v="0"/>
    <n v="120"/>
    <x v="1"/>
    <x v="6"/>
  </r>
  <r>
    <x v="257"/>
    <x v="72"/>
    <x v="0"/>
    <x v="37"/>
    <s v="20-07-2023"/>
    <x v="2"/>
    <x v="1"/>
    <x v="1"/>
    <x v="1"/>
    <x v="1"/>
    <s v="No"/>
    <x v="1"/>
    <x v="0"/>
    <n v="0"/>
    <n v="150"/>
    <n v="200"/>
    <n v="0"/>
    <n v="140"/>
    <n v="210"/>
    <n v="0"/>
    <n v="210"/>
    <x v="3"/>
    <x v="6"/>
  </r>
  <r>
    <x v="258"/>
    <x v="76"/>
    <x v="1"/>
    <x v="23"/>
    <s v="20-07-2023"/>
    <x v="6"/>
    <x v="0"/>
    <x v="1"/>
    <x v="1"/>
    <x v="1"/>
    <s v="No"/>
    <x v="1"/>
    <x v="0"/>
    <n v="0"/>
    <n v="150"/>
    <n v="200"/>
    <n v="0"/>
    <n v="140"/>
    <n v="210"/>
    <n v="0"/>
    <n v="210"/>
    <x v="1"/>
    <x v="6"/>
  </r>
  <r>
    <x v="259"/>
    <x v="67"/>
    <x v="1"/>
    <x v="2"/>
    <s v="21-07-2023"/>
    <x v="1"/>
    <x v="1"/>
    <x v="1"/>
    <x v="1"/>
    <x v="1"/>
    <s v="No"/>
    <x v="1"/>
    <x v="1"/>
    <n v="0"/>
    <n v="150"/>
    <n v="200"/>
    <n v="0"/>
    <n v="0"/>
    <n v="350"/>
    <n v="0"/>
    <n v="350"/>
    <x v="3"/>
    <x v="6"/>
  </r>
  <r>
    <x v="260"/>
    <x v="41"/>
    <x v="0"/>
    <x v="50"/>
    <s v="21-07-2023"/>
    <x v="2"/>
    <x v="1"/>
    <x v="3"/>
    <x v="3"/>
    <x v="1"/>
    <s v="No"/>
    <x v="0"/>
    <x v="0"/>
    <n v="0"/>
    <n v="0"/>
    <n v="200"/>
    <n v="0"/>
    <n v="80"/>
    <n v="120"/>
    <n v="0"/>
    <n v="120"/>
    <x v="3"/>
    <x v="6"/>
  </r>
  <r>
    <x v="261"/>
    <x v="36"/>
    <x v="0"/>
    <x v="58"/>
    <s v="22-07-2023"/>
    <x v="5"/>
    <x v="0"/>
    <x v="7"/>
    <x v="7"/>
    <x v="5"/>
    <s v="No"/>
    <x v="0"/>
    <x v="0"/>
    <n v="16394"/>
    <n v="0"/>
    <n v="0"/>
    <n v="4490"/>
    <n v="0"/>
    <n v="16394"/>
    <n v="0"/>
    <n v="11904"/>
    <x v="1"/>
    <x v="6"/>
  </r>
  <r>
    <x v="262"/>
    <x v="52"/>
    <x v="1"/>
    <x v="60"/>
    <s v="22-07-2023"/>
    <x v="1"/>
    <x v="0"/>
    <x v="4"/>
    <x v="4"/>
    <x v="3"/>
    <s v="No"/>
    <x v="1"/>
    <x v="0"/>
    <n v="1299"/>
    <n v="0"/>
    <n v="0"/>
    <n v="0"/>
    <n v="0"/>
    <n v="1299"/>
    <n v="0"/>
    <n v="1299"/>
    <x v="1"/>
    <x v="6"/>
  </r>
  <r>
    <x v="263"/>
    <x v="48"/>
    <x v="1"/>
    <x v="57"/>
    <s v="24-07-2023"/>
    <x v="2"/>
    <x v="0"/>
    <x v="3"/>
    <x v="3"/>
    <x v="1"/>
    <s v="No"/>
    <x v="0"/>
    <x v="0"/>
    <n v="0"/>
    <n v="0"/>
    <n v="200"/>
    <n v="0"/>
    <n v="80"/>
    <n v="120"/>
    <n v="0"/>
    <n v="120"/>
    <x v="2"/>
    <x v="6"/>
  </r>
  <r>
    <x v="264"/>
    <x v="67"/>
    <x v="1"/>
    <x v="42"/>
    <s v="24-07-2023"/>
    <x v="8"/>
    <x v="0"/>
    <x v="1"/>
    <x v="1"/>
    <x v="1"/>
    <s v="No"/>
    <x v="1"/>
    <x v="0"/>
    <n v="0"/>
    <n v="150"/>
    <n v="200"/>
    <n v="0"/>
    <n v="0"/>
    <n v="350"/>
    <n v="0"/>
    <n v="350"/>
    <x v="1"/>
    <x v="6"/>
  </r>
  <r>
    <x v="265"/>
    <x v="45"/>
    <x v="0"/>
    <x v="19"/>
    <s v="27-07-2023"/>
    <x v="2"/>
    <x v="1"/>
    <x v="5"/>
    <x v="5"/>
    <x v="4"/>
    <s v="No"/>
    <x v="0"/>
    <x v="0"/>
    <n v="961"/>
    <n v="0"/>
    <n v="0"/>
    <n v="0"/>
    <n v="200"/>
    <n v="761"/>
    <n v="0"/>
    <n v="761"/>
    <x v="3"/>
    <x v="6"/>
  </r>
  <r>
    <x v="266"/>
    <x v="40"/>
    <x v="0"/>
    <x v="26"/>
    <s v="27-07-2023"/>
    <x v="9"/>
    <x v="1"/>
    <x v="3"/>
    <x v="3"/>
    <x v="1"/>
    <s v="No"/>
    <x v="0"/>
    <x v="0"/>
    <n v="0"/>
    <n v="0"/>
    <n v="200"/>
    <n v="0"/>
    <n v="0"/>
    <n v="200"/>
    <n v="0"/>
    <n v="200"/>
    <x v="2"/>
    <x v="6"/>
  </r>
  <r>
    <x v="267"/>
    <x v="20"/>
    <x v="0"/>
    <x v="5"/>
    <s v="29-07-2023"/>
    <x v="8"/>
    <x v="0"/>
    <x v="6"/>
    <x v="6"/>
    <x v="4"/>
    <s v="No"/>
    <x v="1"/>
    <x v="0"/>
    <n v="22689"/>
    <n v="0"/>
    <n v="0"/>
    <n v="5980"/>
    <n v="0"/>
    <n v="22689"/>
    <n v="0"/>
    <n v="16709"/>
    <x v="2"/>
    <x v="6"/>
  </r>
  <r>
    <x v="268"/>
    <x v="49"/>
    <x v="1"/>
    <x v="48"/>
    <s v="29-07-2023"/>
    <x v="1"/>
    <x v="0"/>
    <x v="3"/>
    <x v="3"/>
    <x v="1"/>
    <s v="No"/>
    <x v="0"/>
    <x v="0"/>
    <n v="0"/>
    <n v="0"/>
    <n v="200"/>
    <n v="0"/>
    <n v="80"/>
    <n v="120"/>
    <n v="0"/>
    <n v="120"/>
    <x v="0"/>
    <x v="6"/>
  </r>
  <r>
    <x v="269"/>
    <x v="37"/>
    <x v="0"/>
    <x v="49"/>
    <s v="31-07-2023"/>
    <x v="2"/>
    <x v="0"/>
    <x v="1"/>
    <x v="1"/>
    <x v="1"/>
    <s v="No"/>
    <x v="1"/>
    <x v="0"/>
    <n v="0"/>
    <n v="150"/>
    <n v="200"/>
    <n v="0"/>
    <n v="0"/>
    <n v="350"/>
    <n v="0"/>
    <n v="350"/>
    <x v="2"/>
    <x v="6"/>
  </r>
  <r>
    <x v="270"/>
    <x v="15"/>
    <x v="1"/>
    <x v="8"/>
    <s v="31-07-2023"/>
    <x v="2"/>
    <x v="0"/>
    <x v="3"/>
    <x v="3"/>
    <x v="1"/>
    <s v="No"/>
    <x v="0"/>
    <x v="0"/>
    <n v="0"/>
    <n v="0"/>
    <n v="200"/>
    <n v="0"/>
    <n v="0"/>
    <n v="200"/>
    <n v="0"/>
    <n v="200"/>
    <x v="1"/>
    <x v="6"/>
  </r>
  <r>
    <x v="271"/>
    <x v="31"/>
    <x v="0"/>
    <x v="18"/>
    <s v="31-07-2023"/>
    <x v="1"/>
    <x v="1"/>
    <x v="1"/>
    <x v="1"/>
    <x v="1"/>
    <s v="No"/>
    <x v="1"/>
    <x v="0"/>
    <n v="0"/>
    <n v="150"/>
    <n v="200"/>
    <n v="0"/>
    <n v="0"/>
    <n v="350"/>
    <n v="0"/>
    <n v="350"/>
    <x v="2"/>
    <x v="6"/>
  </r>
  <r>
    <x v="272"/>
    <x v="85"/>
    <x v="0"/>
    <x v="28"/>
    <d v="2023-01-08T00:00:00"/>
    <x v="1"/>
    <x v="0"/>
    <x v="3"/>
    <x v="3"/>
    <x v="1"/>
    <s v="No"/>
    <x v="0"/>
    <x v="0"/>
    <n v="0"/>
    <n v="0"/>
    <n v="200"/>
    <n v="0"/>
    <n v="0"/>
    <n v="200"/>
    <n v="0"/>
    <n v="200"/>
    <x v="1"/>
    <x v="7"/>
  </r>
  <r>
    <x v="273"/>
    <x v="87"/>
    <x v="1"/>
    <x v="61"/>
    <d v="2023-02-08T00:00:00"/>
    <x v="7"/>
    <x v="1"/>
    <x v="1"/>
    <x v="1"/>
    <x v="1"/>
    <s v="No"/>
    <x v="1"/>
    <x v="0"/>
    <n v="0"/>
    <n v="150"/>
    <n v="200"/>
    <n v="0"/>
    <n v="0"/>
    <n v="350"/>
    <n v="0"/>
    <n v="350"/>
    <x v="2"/>
    <x v="7"/>
  </r>
  <r>
    <x v="274"/>
    <x v="17"/>
    <x v="1"/>
    <x v="11"/>
    <d v="2023-04-08T00:00:00"/>
    <x v="1"/>
    <x v="1"/>
    <x v="1"/>
    <x v="1"/>
    <x v="1"/>
    <s v="No"/>
    <x v="1"/>
    <x v="0"/>
    <n v="0"/>
    <n v="150"/>
    <n v="200"/>
    <n v="0"/>
    <n v="0"/>
    <n v="350"/>
    <n v="0"/>
    <n v="350"/>
    <x v="1"/>
    <x v="7"/>
  </r>
  <r>
    <x v="275"/>
    <x v="57"/>
    <x v="1"/>
    <x v="35"/>
    <d v="2023-04-08T00:00:00"/>
    <x v="1"/>
    <x v="0"/>
    <x v="3"/>
    <x v="3"/>
    <x v="1"/>
    <s v="No"/>
    <x v="0"/>
    <x v="0"/>
    <n v="0"/>
    <n v="0"/>
    <n v="200"/>
    <n v="0"/>
    <n v="0"/>
    <n v="200"/>
    <n v="0"/>
    <n v="200"/>
    <x v="2"/>
    <x v="7"/>
  </r>
  <r>
    <x v="276"/>
    <x v="84"/>
    <x v="1"/>
    <x v="27"/>
    <d v="2023-04-08T00:00:00"/>
    <x v="8"/>
    <x v="0"/>
    <x v="3"/>
    <x v="3"/>
    <x v="1"/>
    <s v="No"/>
    <x v="0"/>
    <x v="0"/>
    <n v="0"/>
    <n v="0"/>
    <n v="200"/>
    <n v="0"/>
    <n v="0"/>
    <n v="200"/>
    <n v="0"/>
    <n v="200"/>
    <x v="3"/>
    <x v="7"/>
  </r>
  <r>
    <x v="277"/>
    <x v="30"/>
    <x v="1"/>
    <x v="46"/>
    <d v="2023-05-08T00:00:00"/>
    <x v="1"/>
    <x v="0"/>
    <x v="1"/>
    <x v="1"/>
    <x v="1"/>
    <s v="No"/>
    <x v="1"/>
    <x v="1"/>
    <n v="0"/>
    <n v="150"/>
    <n v="200"/>
    <n v="0"/>
    <n v="0"/>
    <n v="350"/>
    <n v="0"/>
    <n v="350"/>
    <x v="1"/>
    <x v="7"/>
  </r>
  <r>
    <x v="278"/>
    <x v="53"/>
    <x v="1"/>
    <x v="18"/>
    <d v="2023-07-08T00:00:00"/>
    <x v="0"/>
    <x v="0"/>
    <x v="3"/>
    <x v="3"/>
    <x v="1"/>
    <s v="No"/>
    <x v="0"/>
    <x v="0"/>
    <n v="0"/>
    <n v="0"/>
    <n v="200"/>
    <n v="0"/>
    <n v="80"/>
    <n v="120"/>
    <n v="0"/>
    <n v="120"/>
    <x v="2"/>
    <x v="7"/>
  </r>
  <r>
    <x v="279"/>
    <x v="52"/>
    <x v="1"/>
    <x v="1"/>
    <d v="2023-08-08T00:00:00"/>
    <x v="5"/>
    <x v="0"/>
    <x v="1"/>
    <x v="1"/>
    <x v="1"/>
    <s v="No"/>
    <x v="1"/>
    <x v="0"/>
    <n v="0"/>
    <n v="150"/>
    <n v="200"/>
    <n v="0"/>
    <n v="50"/>
    <n v="300"/>
    <n v="0"/>
    <n v="300"/>
    <x v="1"/>
    <x v="7"/>
  </r>
  <r>
    <x v="280"/>
    <x v="20"/>
    <x v="0"/>
    <x v="13"/>
    <d v="2023-08-08T00:00:00"/>
    <x v="1"/>
    <x v="1"/>
    <x v="1"/>
    <x v="1"/>
    <x v="1"/>
    <s v="No"/>
    <x v="1"/>
    <x v="0"/>
    <n v="0"/>
    <n v="150"/>
    <n v="200"/>
    <n v="0"/>
    <n v="140"/>
    <n v="210"/>
    <n v="0"/>
    <n v="210"/>
    <x v="3"/>
    <x v="7"/>
  </r>
  <r>
    <x v="281"/>
    <x v="5"/>
    <x v="1"/>
    <x v="8"/>
    <d v="2023-09-08T00:00:00"/>
    <x v="5"/>
    <x v="1"/>
    <x v="1"/>
    <x v="1"/>
    <x v="1"/>
    <s v="No"/>
    <x v="1"/>
    <x v="0"/>
    <n v="0"/>
    <n v="150"/>
    <n v="200"/>
    <n v="0"/>
    <n v="0"/>
    <n v="350"/>
    <n v="0"/>
    <n v="350"/>
    <x v="1"/>
    <x v="7"/>
  </r>
  <r>
    <x v="282"/>
    <x v="24"/>
    <x v="0"/>
    <x v="73"/>
    <d v="2023-10-08T00:00:00"/>
    <x v="1"/>
    <x v="0"/>
    <x v="7"/>
    <x v="7"/>
    <x v="5"/>
    <s v="No"/>
    <x v="1"/>
    <x v="1"/>
    <n v="12227"/>
    <n v="0"/>
    <n v="0"/>
    <n v="1860"/>
    <n v="0"/>
    <n v="12227"/>
    <n v="0"/>
    <n v="10367"/>
    <x v="2"/>
    <x v="7"/>
  </r>
  <r>
    <x v="283"/>
    <x v="88"/>
    <x v="1"/>
    <x v="48"/>
    <d v="2023-11-08T00:00:00"/>
    <x v="0"/>
    <x v="0"/>
    <x v="1"/>
    <x v="1"/>
    <x v="1"/>
    <s v="No"/>
    <x v="1"/>
    <x v="0"/>
    <n v="0"/>
    <n v="150"/>
    <n v="200"/>
    <n v="0"/>
    <n v="140"/>
    <n v="210"/>
    <n v="0"/>
    <n v="210"/>
    <x v="3"/>
    <x v="7"/>
  </r>
  <r>
    <x v="284"/>
    <x v="66"/>
    <x v="1"/>
    <x v="59"/>
    <d v="2023-12-08T00:00:00"/>
    <x v="4"/>
    <x v="0"/>
    <x v="1"/>
    <x v="1"/>
    <x v="1"/>
    <s v="No"/>
    <x v="1"/>
    <x v="0"/>
    <n v="0"/>
    <n v="150"/>
    <n v="200"/>
    <n v="0"/>
    <n v="0"/>
    <n v="350"/>
    <n v="0"/>
    <n v="350"/>
    <x v="1"/>
    <x v="7"/>
  </r>
  <r>
    <x v="285"/>
    <x v="74"/>
    <x v="1"/>
    <x v="18"/>
    <d v="2023-12-08T00:00:00"/>
    <x v="2"/>
    <x v="0"/>
    <x v="1"/>
    <x v="1"/>
    <x v="1"/>
    <s v="No"/>
    <x v="1"/>
    <x v="0"/>
    <n v="0"/>
    <n v="150"/>
    <n v="200"/>
    <n v="0"/>
    <n v="140"/>
    <n v="210"/>
    <n v="0"/>
    <n v="210"/>
    <x v="2"/>
    <x v="7"/>
  </r>
  <r>
    <x v="286"/>
    <x v="38"/>
    <x v="0"/>
    <x v="20"/>
    <s v="15-08-2023"/>
    <x v="1"/>
    <x v="0"/>
    <x v="4"/>
    <x v="4"/>
    <x v="3"/>
    <s v="No"/>
    <x v="0"/>
    <x v="1"/>
    <n v="1204"/>
    <n v="0"/>
    <n v="0"/>
    <n v="0"/>
    <n v="481.6"/>
    <n v="722.4"/>
    <n v="0"/>
    <n v="722.4"/>
    <x v="3"/>
    <x v="7"/>
  </r>
  <r>
    <x v="287"/>
    <x v="10"/>
    <x v="0"/>
    <x v="25"/>
    <s v="15-08-2023"/>
    <x v="0"/>
    <x v="0"/>
    <x v="1"/>
    <x v="1"/>
    <x v="1"/>
    <s v="No"/>
    <x v="1"/>
    <x v="0"/>
    <n v="0"/>
    <n v="150"/>
    <n v="200"/>
    <n v="0"/>
    <n v="140"/>
    <n v="210"/>
    <n v="0"/>
    <n v="210"/>
    <x v="1"/>
    <x v="7"/>
  </r>
  <r>
    <x v="288"/>
    <x v="9"/>
    <x v="0"/>
    <x v="0"/>
    <s v="16-08-2023"/>
    <x v="5"/>
    <x v="0"/>
    <x v="3"/>
    <x v="3"/>
    <x v="1"/>
    <s v="No"/>
    <x v="0"/>
    <x v="0"/>
    <n v="0"/>
    <n v="0"/>
    <n v="200"/>
    <n v="0"/>
    <n v="0"/>
    <n v="200"/>
    <n v="0"/>
    <n v="200"/>
    <x v="3"/>
    <x v="7"/>
  </r>
  <r>
    <x v="289"/>
    <x v="15"/>
    <x v="1"/>
    <x v="30"/>
    <s v="17-08-2023"/>
    <x v="2"/>
    <x v="1"/>
    <x v="3"/>
    <x v="3"/>
    <x v="1"/>
    <s v="No"/>
    <x v="0"/>
    <x v="0"/>
    <n v="0"/>
    <n v="0"/>
    <n v="200"/>
    <n v="0"/>
    <n v="0"/>
    <n v="200"/>
    <n v="0"/>
    <n v="200"/>
    <x v="1"/>
    <x v="7"/>
  </r>
  <r>
    <x v="290"/>
    <x v="39"/>
    <x v="0"/>
    <x v="30"/>
    <s v="17-08-2023"/>
    <x v="0"/>
    <x v="0"/>
    <x v="1"/>
    <x v="1"/>
    <x v="1"/>
    <s v="No"/>
    <x v="1"/>
    <x v="0"/>
    <n v="0"/>
    <n v="150"/>
    <n v="200"/>
    <n v="0"/>
    <n v="0"/>
    <n v="350"/>
    <n v="0"/>
    <n v="350"/>
    <x v="1"/>
    <x v="7"/>
  </r>
  <r>
    <x v="291"/>
    <x v="75"/>
    <x v="1"/>
    <x v="73"/>
    <s v="18-08-2023"/>
    <x v="7"/>
    <x v="0"/>
    <x v="3"/>
    <x v="3"/>
    <x v="1"/>
    <s v="No"/>
    <x v="0"/>
    <x v="0"/>
    <n v="0"/>
    <n v="0"/>
    <n v="200"/>
    <n v="0"/>
    <n v="0"/>
    <n v="200"/>
    <n v="0"/>
    <n v="200"/>
    <x v="1"/>
    <x v="7"/>
  </r>
  <r>
    <x v="292"/>
    <x v="68"/>
    <x v="1"/>
    <x v="38"/>
    <s v="19-08-2023"/>
    <x v="1"/>
    <x v="0"/>
    <x v="1"/>
    <x v="1"/>
    <x v="1"/>
    <s v="No"/>
    <x v="1"/>
    <x v="0"/>
    <n v="0"/>
    <n v="150"/>
    <n v="200"/>
    <n v="0"/>
    <n v="0"/>
    <n v="350"/>
    <n v="0"/>
    <n v="350"/>
    <x v="1"/>
    <x v="7"/>
  </r>
  <r>
    <x v="293"/>
    <x v="69"/>
    <x v="0"/>
    <x v="20"/>
    <s v="19-08-2023"/>
    <x v="2"/>
    <x v="1"/>
    <x v="9"/>
    <x v="9"/>
    <x v="7"/>
    <s v="No"/>
    <x v="1"/>
    <x v="0"/>
    <n v="2157"/>
    <n v="0"/>
    <n v="0"/>
    <n v="640"/>
    <n v="0"/>
    <n v="2157"/>
    <n v="0"/>
    <n v="1517"/>
    <x v="2"/>
    <x v="7"/>
  </r>
  <r>
    <x v="294"/>
    <x v="69"/>
    <x v="0"/>
    <x v="69"/>
    <s v="21-08-2023"/>
    <x v="2"/>
    <x v="1"/>
    <x v="5"/>
    <x v="5"/>
    <x v="4"/>
    <s v="No"/>
    <x v="1"/>
    <x v="0"/>
    <n v="759"/>
    <n v="0"/>
    <n v="0"/>
    <n v="0"/>
    <n v="0"/>
    <n v="759"/>
    <n v="0"/>
    <n v="759"/>
    <x v="0"/>
    <x v="7"/>
  </r>
  <r>
    <x v="295"/>
    <x v="27"/>
    <x v="0"/>
    <x v="8"/>
    <s v="21-08-2023"/>
    <x v="2"/>
    <x v="0"/>
    <x v="3"/>
    <x v="3"/>
    <x v="1"/>
    <s v="No"/>
    <x v="0"/>
    <x v="0"/>
    <n v="0"/>
    <n v="0"/>
    <n v="200"/>
    <n v="0"/>
    <n v="0"/>
    <n v="200"/>
    <n v="0"/>
    <n v="200"/>
    <x v="1"/>
    <x v="7"/>
  </r>
  <r>
    <x v="296"/>
    <x v="36"/>
    <x v="0"/>
    <x v="29"/>
    <s v="23-08-2023"/>
    <x v="5"/>
    <x v="0"/>
    <x v="6"/>
    <x v="6"/>
    <x v="4"/>
    <s v="No"/>
    <x v="0"/>
    <x v="0"/>
    <n v="28849"/>
    <n v="0"/>
    <n v="0"/>
    <n v="6920"/>
    <n v="0"/>
    <n v="19914"/>
    <n v="8935"/>
    <n v="12994"/>
    <x v="1"/>
    <x v="7"/>
  </r>
  <r>
    <x v="297"/>
    <x v="72"/>
    <x v="0"/>
    <x v="51"/>
    <s v="23-08-2023"/>
    <x v="5"/>
    <x v="0"/>
    <x v="0"/>
    <x v="0"/>
    <x v="0"/>
    <s v="No"/>
    <x v="1"/>
    <x v="0"/>
    <n v="462"/>
    <n v="0"/>
    <n v="0"/>
    <n v="0"/>
    <n v="0"/>
    <n v="462"/>
    <n v="0"/>
    <n v="462"/>
    <x v="2"/>
    <x v="7"/>
  </r>
  <r>
    <x v="298"/>
    <x v="63"/>
    <x v="0"/>
    <x v="44"/>
    <s v="24-08-2023"/>
    <x v="1"/>
    <x v="0"/>
    <x v="1"/>
    <x v="1"/>
    <x v="1"/>
    <s v="No"/>
    <x v="1"/>
    <x v="0"/>
    <n v="0"/>
    <n v="150"/>
    <n v="200"/>
    <n v="0"/>
    <n v="0"/>
    <n v="350"/>
    <n v="0"/>
    <n v="350"/>
    <x v="3"/>
    <x v="7"/>
  </r>
  <r>
    <x v="299"/>
    <x v="66"/>
    <x v="1"/>
    <x v="66"/>
    <s v="25-08-2023"/>
    <x v="2"/>
    <x v="0"/>
    <x v="1"/>
    <x v="1"/>
    <x v="1"/>
    <s v="No"/>
    <x v="1"/>
    <x v="0"/>
    <n v="0"/>
    <n v="150"/>
    <n v="200"/>
    <n v="0"/>
    <n v="0"/>
    <n v="350"/>
    <n v="0"/>
    <n v="350"/>
    <x v="1"/>
    <x v="7"/>
  </r>
  <r>
    <x v="300"/>
    <x v="36"/>
    <x v="0"/>
    <x v="52"/>
    <s v="28-08-2023"/>
    <x v="6"/>
    <x v="0"/>
    <x v="1"/>
    <x v="1"/>
    <x v="1"/>
    <s v="No"/>
    <x v="1"/>
    <x v="0"/>
    <n v="0"/>
    <n v="150"/>
    <n v="200"/>
    <n v="0"/>
    <n v="0"/>
    <n v="350"/>
    <n v="0"/>
    <n v="350"/>
    <x v="1"/>
    <x v="7"/>
  </r>
  <r>
    <x v="301"/>
    <x v="52"/>
    <x v="1"/>
    <x v="52"/>
    <s v="28-08-2023"/>
    <x v="8"/>
    <x v="0"/>
    <x v="3"/>
    <x v="3"/>
    <x v="1"/>
    <s v="No"/>
    <x v="0"/>
    <x v="0"/>
    <n v="0"/>
    <n v="0"/>
    <n v="200"/>
    <n v="0"/>
    <n v="0"/>
    <n v="200"/>
    <n v="0"/>
    <n v="200"/>
    <x v="0"/>
    <x v="7"/>
  </r>
  <r>
    <x v="302"/>
    <x v="22"/>
    <x v="1"/>
    <x v="13"/>
    <s v="29-08-2023"/>
    <x v="2"/>
    <x v="1"/>
    <x v="9"/>
    <x v="9"/>
    <x v="7"/>
    <s v="No"/>
    <x v="0"/>
    <x v="0"/>
    <n v="2391"/>
    <n v="0"/>
    <n v="0"/>
    <n v="1040"/>
    <n v="0"/>
    <n v="2391"/>
    <n v="0"/>
    <n v="1351"/>
    <x v="2"/>
    <x v="7"/>
  </r>
  <r>
    <x v="303"/>
    <x v="13"/>
    <x v="0"/>
    <x v="34"/>
    <s v="30-08-2023"/>
    <x v="5"/>
    <x v="0"/>
    <x v="0"/>
    <x v="0"/>
    <x v="0"/>
    <s v="No"/>
    <x v="0"/>
    <x v="1"/>
    <n v="683"/>
    <n v="0"/>
    <n v="0"/>
    <n v="0"/>
    <n v="0"/>
    <n v="683"/>
    <n v="0"/>
    <n v="683"/>
    <x v="2"/>
    <x v="7"/>
  </r>
  <r>
    <x v="304"/>
    <x v="56"/>
    <x v="0"/>
    <x v="52"/>
    <s v="31-08-2023"/>
    <x v="1"/>
    <x v="0"/>
    <x v="1"/>
    <x v="1"/>
    <x v="1"/>
    <s v="No"/>
    <x v="1"/>
    <x v="0"/>
    <n v="0"/>
    <n v="150"/>
    <n v="200"/>
    <n v="0"/>
    <n v="140"/>
    <n v="210"/>
    <n v="0"/>
    <n v="210"/>
    <x v="3"/>
    <x v="7"/>
  </r>
  <r>
    <x v="305"/>
    <x v="18"/>
    <x v="1"/>
    <x v="21"/>
    <s v="31-08-2023"/>
    <x v="9"/>
    <x v="1"/>
    <x v="3"/>
    <x v="3"/>
    <x v="1"/>
    <s v="No"/>
    <x v="0"/>
    <x v="0"/>
    <n v="0"/>
    <n v="0"/>
    <n v="200"/>
    <n v="0"/>
    <n v="0"/>
    <n v="200"/>
    <n v="0"/>
    <n v="200"/>
    <x v="2"/>
    <x v="7"/>
  </r>
  <r>
    <x v="306"/>
    <x v="15"/>
    <x v="1"/>
    <x v="73"/>
    <s v="31-08-2023"/>
    <x v="8"/>
    <x v="0"/>
    <x v="1"/>
    <x v="1"/>
    <x v="1"/>
    <s v="No"/>
    <x v="1"/>
    <x v="1"/>
    <n v="0"/>
    <n v="150"/>
    <n v="200"/>
    <n v="0"/>
    <n v="140"/>
    <n v="210"/>
    <n v="0"/>
    <n v="210"/>
    <x v="1"/>
    <x v="7"/>
  </r>
  <r>
    <x v="307"/>
    <x v="13"/>
    <x v="0"/>
    <x v="33"/>
    <d v="2023-05-09T00:00:00"/>
    <x v="1"/>
    <x v="0"/>
    <x v="8"/>
    <x v="8"/>
    <x v="6"/>
    <s v="No"/>
    <x v="1"/>
    <x v="0"/>
    <n v="2945"/>
    <n v="0"/>
    <n v="0"/>
    <n v="0"/>
    <n v="0"/>
    <n v="2945"/>
    <n v="0"/>
    <n v="2945"/>
    <x v="1"/>
    <x v="8"/>
  </r>
  <r>
    <x v="308"/>
    <x v="22"/>
    <x v="1"/>
    <x v="60"/>
    <d v="2023-05-09T00:00:00"/>
    <x v="5"/>
    <x v="0"/>
    <x v="1"/>
    <x v="1"/>
    <x v="1"/>
    <s v="No"/>
    <x v="1"/>
    <x v="0"/>
    <n v="0"/>
    <n v="150"/>
    <n v="200"/>
    <n v="0"/>
    <n v="0"/>
    <n v="350"/>
    <n v="0"/>
    <n v="350"/>
    <x v="1"/>
    <x v="8"/>
  </r>
  <r>
    <x v="309"/>
    <x v="51"/>
    <x v="0"/>
    <x v="45"/>
    <d v="2023-06-09T00:00:00"/>
    <x v="4"/>
    <x v="0"/>
    <x v="0"/>
    <x v="0"/>
    <x v="0"/>
    <s v="No"/>
    <x v="1"/>
    <x v="1"/>
    <n v="544"/>
    <n v="0"/>
    <n v="0"/>
    <n v="0"/>
    <n v="0"/>
    <n v="544"/>
    <n v="0"/>
    <n v="544"/>
    <x v="1"/>
    <x v="8"/>
  </r>
  <r>
    <x v="310"/>
    <x v="53"/>
    <x v="1"/>
    <x v="6"/>
    <d v="2023-08-09T00:00:00"/>
    <x v="2"/>
    <x v="0"/>
    <x v="1"/>
    <x v="1"/>
    <x v="1"/>
    <s v="No"/>
    <x v="1"/>
    <x v="0"/>
    <n v="0"/>
    <n v="150"/>
    <n v="200"/>
    <n v="0"/>
    <n v="0"/>
    <n v="350"/>
    <n v="0"/>
    <n v="350"/>
    <x v="2"/>
    <x v="8"/>
  </r>
  <r>
    <x v="311"/>
    <x v="88"/>
    <x v="1"/>
    <x v="36"/>
    <d v="2023-08-09T00:00:00"/>
    <x v="0"/>
    <x v="0"/>
    <x v="4"/>
    <x v="4"/>
    <x v="3"/>
    <s v="No"/>
    <x v="1"/>
    <x v="1"/>
    <n v="1792"/>
    <n v="0"/>
    <n v="0"/>
    <n v="0"/>
    <n v="500"/>
    <n v="1292"/>
    <n v="0"/>
    <n v="1292"/>
    <x v="0"/>
    <x v="8"/>
  </r>
  <r>
    <x v="312"/>
    <x v="11"/>
    <x v="0"/>
    <x v="20"/>
    <d v="2023-08-09T00:00:00"/>
    <x v="2"/>
    <x v="0"/>
    <x v="8"/>
    <x v="8"/>
    <x v="6"/>
    <s v="No"/>
    <x v="0"/>
    <x v="0"/>
    <n v="3043"/>
    <n v="0"/>
    <n v="0"/>
    <n v="0"/>
    <n v="0"/>
    <n v="3043"/>
    <n v="0"/>
    <n v="3043"/>
    <x v="2"/>
    <x v="8"/>
  </r>
  <r>
    <x v="313"/>
    <x v="39"/>
    <x v="0"/>
    <x v="51"/>
    <d v="2023-09-09T00:00:00"/>
    <x v="2"/>
    <x v="0"/>
    <x v="1"/>
    <x v="1"/>
    <x v="1"/>
    <s v="No"/>
    <x v="1"/>
    <x v="0"/>
    <n v="0"/>
    <n v="150"/>
    <n v="200"/>
    <n v="0"/>
    <n v="0"/>
    <n v="350"/>
    <n v="0"/>
    <n v="350"/>
    <x v="1"/>
    <x v="8"/>
  </r>
  <r>
    <x v="314"/>
    <x v="22"/>
    <x v="1"/>
    <x v="64"/>
    <d v="2023-09-09T00:00:00"/>
    <x v="1"/>
    <x v="1"/>
    <x v="3"/>
    <x v="3"/>
    <x v="1"/>
    <s v="No"/>
    <x v="0"/>
    <x v="0"/>
    <n v="0"/>
    <n v="0"/>
    <n v="200"/>
    <n v="0"/>
    <n v="0"/>
    <n v="200"/>
    <n v="0"/>
    <n v="200"/>
    <x v="1"/>
    <x v="8"/>
  </r>
  <r>
    <x v="315"/>
    <x v="41"/>
    <x v="0"/>
    <x v="52"/>
    <d v="2023-11-09T00:00:00"/>
    <x v="8"/>
    <x v="0"/>
    <x v="1"/>
    <x v="1"/>
    <x v="1"/>
    <s v="No"/>
    <x v="1"/>
    <x v="0"/>
    <n v="0"/>
    <n v="150"/>
    <n v="200"/>
    <n v="0"/>
    <n v="50"/>
    <n v="300"/>
    <n v="0"/>
    <n v="300"/>
    <x v="2"/>
    <x v="8"/>
  </r>
  <r>
    <x v="316"/>
    <x v="49"/>
    <x v="1"/>
    <x v="63"/>
    <d v="2023-11-09T00:00:00"/>
    <x v="1"/>
    <x v="0"/>
    <x v="3"/>
    <x v="3"/>
    <x v="1"/>
    <s v="No"/>
    <x v="0"/>
    <x v="1"/>
    <n v="0"/>
    <n v="0"/>
    <n v="200"/>
    <n v="0"/>
    <n v="80"/>
    <n v="120"/>
    <n v="0"/>
    <n v="120"/>
    <x v="2"/>
    <x v="8"/>
  </r>
  <r>
    <x v="317"/>
    <x v="5"/>
    <x v="1"/>
    <x v="18"/>
    <d v="2023-12-09T00:00:00"/>
    <x v="1"/>
    <x v="0"/>
    <x v="3"/>
    <x v="3"/>
    <x v="1"/>
    <s v="No"/>
    <x v="0"/>
    <x v="1"/>
    <n v="0"/>
    <n v="0"/>
    <n v="200"/>
    <n v="0"/>
    <n v="0"/>
    <n v="200"/>
    <n v="0"/>
    <n v="200"/>
    <x v="1"/>
    <x v="8"/>
  </r>
  <r>
    <x v="318"/>
    <x v="15"/>
    <x v="1"/>
    <x v="2"/>
    <d v="2023-12-09T00:00:00"/>
    <x v="1"/>
    <x v="0"/>
    <x v="3"/>
    <x v="3"/>
    <x v="1"/>
    <s v="No"/>
    <x v="0"/>
    <x v="0"/>
    <n v="0"/>
    <n v="0"/>
    <n v="200"/>
    <n v="0"/>
    <n v="0"/>
    <n v="200"/>
    <n v="0"/>
    <n v="200"/>
    <x v="1"/>
    <x v="8"/>
  </r>
  <r>
    <x v="319"/>
    <x v="25"/>
    <x v="1"/>
    <x v="40"/>
    <s v="13-09-2023"/>
    <x v="8"/>
    <x v="0"/>
    <x v="1"/>
    <x v="1"/>
    <x v="1"/>
    <s v="No"/>
    <x v="1"/>
    <x v="0"/>
    <n v="0"/>
    <n v="150"/>
    <n v="200"/>
    <n v="0"/>
    <n v="0"/>
    <n v="350"/>
    <n v="0"/>
    <n v="350"/>
    <x v="3"/>
    <x v="8"/>
  </r>
  <r>
    <x v="320"/>
    <x v="16"/>
    <x v="0"/>
    <x v="45"/>
    <s v="14-09-2023"/>
    <x v="1"/>
    <x v="1"/>
    <x v="9"/>
    <x v="9"/>
    <x v="7"/>
    <s v="No"/>
    <x v="1"/>
    <x v="0"/>
    <n v="2335"/>
    <n v="0"/>
    <n v="0"/>
    <n v="690"/>
    <n v="0"/>
    <n v="2335"/>
    <n v="0"/>
    <n v="1645"/>
    <x v="1"/>
    <x v="8"/>
  </r>
  <r>
    <x v="321"/>
    <x v="72"/>
    <x v="0"/>
    <x v="31"/>
    <s v="14-09-2023"/>
    <x v="2"/>
    <x v="0"/>
    <x v="1"/>
    <x v="1"/>
    <x v="1"/>
    <s v="No"/>
    <x v="1"/>
    <x v="1"/>
    <n v="0"/>
    <n v="150"/>
    <n v="200"/>
    <n v="0"/>
    <n v="0"/>
    <n v="350"/>
    <n v="0"/>
    <n v="350"/>
    <x v="3"/>
    <x v="8"/>
  </r>
  <r>
    <x v="322"/>
    <x v="10"/>
    <x v="0"/>
    <x v="65"/>
    <s v="15-09-2023"/>
    <x v="1"/>
    <x v="0"/>
    <x v="8"/>
    <x v="8"/>
    <x v="6"/>
    <s v="No"/>
    <x v="1"/>
    <x v="0"/>
    <n v="4060"/>
    <n v="0"/>
    <n v="0"/>
    <n v="0"/>
    <n v="300"/>
    <n v="3760"/>
    <n v="0"/>
    <n v="3760"/>
    <x v="3"/>
    <x v="8"/>
  </r>
  <r>
    <x v="323"/>
    <x v="64"/>
    <x v="1"/>
    <x v="14"/>
    <s v="15-09-2023"/>
    <x v="7"/>
    <x v="1"/>
    <x v="1"/>
    <x v="1"/>
    <x v="1"/>
    <s v="No"/>
    <x v="1"/>
    <x v="0"/>
    <n v="0"/>
    <n v="150"/>
    <n v="200"/>
    <n v="0"/>
    <n v="0"/>
    <n v="350"/>
    <n v="0"/>
    <n v="350"/>
    <x v="1"/>
    <x v="8"/>
  </r>
  <r>
    <x v="324"/>
    <x v="72"/>
    <x v="0"/>
    <x v="54"/>
    <s v="16-09-2023"/>
    <x v="2"/>
    <x v="0"/>
    <x v="1"/>
    <x v="1"/>
    <x v="1"/>
    <s v="No"/>
    <x v="1"/>
    <x v="0"/>
    <n v="0"/>
    <n v="150"/>
    <n v="200"/>
    <n v="0"/>
    <n v="0"/>
    <n v="350"/>
    <n v="0"/>
    <n v="350"/>
    <x v="2"/>
    <x v="8"/>
  </r>
  <r>
    <x v="325"/>
    <x v="18"/>
    <x v="1"/>
    <x v="40"/>
    <s v="18-09-2023"/>
    <x v="5"/>
    <x v="0"/>
    <x v="3"/>
    <x v="3"/>
    <x v="1"/>
    <s v="No"/>
    <x v="0"/>
    <x v="0"/>
    <n v="0"/>
    <n v="0"/>
    <n v="200"/>
    <n v="0"/>
    <n v="0"/>
    <n v="200"/>
    <n v="0"/>
    <n v="200"/>
    <x v="1"/>
    <x v="8"/>
  </r>
  <r>
    <x v="326"/>
    <x v="61"/>
    <x v="1"/>
    <x v="17"/>
    <s v="18-09-2023"/>
    <x v="2"/>
    <x v="0"/>
    <x v="1"/>
    <x v="1"/>
    <x v="1"/>
    <s v="No"/>
    <x v="1"/>
    <x v="0"/>
    <n v="0"/>
    <n v="150"/>
    <n v="200"/>
    <n v="0"/>
    <n v="50"/>
    <n v="300"/>
    <n v="0"/>
    <n v="300"/>
    <x v="3"/>
    <x v="8"/>
  </r>
  <r>
    <x v="327"/>
    <x v="55"/>
    <x v="1"/>
    <x v="45"/>
    <s v="19-09-2023"/>
    <x v="7"/>
    <x v="0"/>
    <x v="1"/>
    <x v="1"/>
    <x v="1"/>
    <s v="No"/>
    <x v="1"/>
    <x v="2"/>
    <n v="0"/>
    <n v="150"/>
    <n v="200"/>
    <n v="0"/>
    <n v="0"/>
    <n v="350"/>
    <n v="0"/>
    <n v="350"/>
    <x v="1"/>
    <x v="8"/>
  </r>
  <r>
    <x v="328"/>
    <x v="43"/>
    <x v="0"/>
    <x v="71"/>
    <s v="20-09-2023"/>
    <x v="5"/>
    <x v="1"/>
    <x v="3"/>
    <x v="3"/>
    <x v="1"/>
    <s v="No"/>
    <x v="0"/>
    <x v="2"/>
    <n v="0"/>
    <n v="0"/>
    <n v="200"/>
    <n v="0"/>
    <n v="0"/>
    <n v="200"/>
    <n v="0"/>
    <n v="200"/>
    <x v="3"/>
    <x v="8"/>
  </r>
  <r>
    <x v="329"/>
    <x v="70"/>
    <x v="1"/>
    <x v="64"/>
    <s v="20-09-2023"/>
    <x v="0"/>
    <x v="0"/>
    <x v="7"/>
    <x v="7"/>
    <x v="5"/>
    <s v="No"/>
    <x v="1"/>
    <x v="0"/>
    <n v="18927"/>
    <n v="0"/>
    <n v="0"/>
    <n v="4890"/>
    <n v="0"/>
    <n v="16418"/>
    <n v="2509"/>
    <n v="11528"/>
    <x v="3"/>
    <x v="8"/>
  </r>
  <r>
    <x v="330"/>
    <x v="59"/>
    <x v="1"/>
    <x v="38"/>
    <s v="23-09-2023"/>
    <x v="5"/>
    <x v="1"/>
    <x v="3"/>
    <x v="3"/>
    <x v="1"/>
    <s v="No"/>
    <x v="0"/>
    <x v="0"/>
    <n v="0"/>
    <n v="0"/>
    <n v="200"/>
    <n v="0"/>
    <n v="0"/>
    <n v="200"/>
    <n v="0"/>
    <n v="200"/>
    <x v="0"/>
    <x v="8"/>
  </r>
  <r>
    <x v="331"/>
    <x v="59"/>
    <x v="1"/>
    <x v="21"/>
    <s v="27-09-2023"/>
    <x v="2"/>
    <x v="0"/>
    <x v="0"/>
    <x v="0"/>
    <x v="0"/>
    <s v="No"/>
    <x v="0"/>
    <x v="0"/>
    <n v="656"/>
    <n v="0"/>
    <n v="0"/>
    <n v="0"/>
    <n v="0"/>
    <n v="656"/>
    <n v="0"/>
    <n v="656"/>
    <x v="3"/>
    <x v="8"/>
  </r>
  <r>
    <x v="332"/>
    <x v="36"/>
    <x v="0"/>
    <x v="4"/>
    <s v="27-09-2023"/>
    <x v="0"/>
    <x v="0"/>
    <x v="3"/>
    <x v="3"/>
    <x v="1"/>
    <s v="No"/>
    <x v="0"/>
    <x v="0"/>
    <n v="0"/>
    <n v="0"/>
    <n v="200"/>
    <n v="0"/>
    <n v="0"/>
    <n v="200"/>
    <n v="0"/>
    <n v="200"/>
    <x v="2"/>
    <x v="8"/>
  </r>
  <r>
    <x v="333"/>
    <x v="26"/>
    <x v="0"/>
    <x v="7"/>
    <s v="28-09-2023"/>
    <x v="2"/>
    <x v="0"/>
    <x v="4"/>
    <x v="4"/>
    <x v="3"/>
    <s v="No"/>
    <x v="1"/>
    <x v="2"/>
    <n v="1616"/>
    <n v="0"/>
    <n v="0"/>
    <n v="0"/>
    <n v="0"/>
    <n v="1616"/>
    <n v="0"/>
    <n v="1616"/>
    <x v="3"/>
    <x v="8"/>
  </r>
  <r>
    <x v="334"/>
    <x v="18"/>
    <x v="1"/>
    <x v="5"/>
    <s v="28-09-2023"/>
    <x v="7"/>
    <x v="0"/>
    <x v="1"/>
    <x v="1"/>
    <x v="1"/>
    <s v="No"/>
    <x v="1"/>
    <x v="0"/>
    <n v="0"/>
    <n v="150"/>
    <n v="200"/>
    <n v="0"/>
    <n v="0"/>
    <n v="350"/>
    <n v="0"/>
    <n v="350"/>
    <x v="2"/>
    <x v="8"/>
  </r>
  <r>
    <x v="335"/>
    <x v="86"/>
    <x v="0"/>
    <x v="63"/>
    <s v="29-09-2023"/>
    <x v="1"/>
    <x v="1"/>
    <x v="1"/>
    <x v="1"/>
    <x v="1"/>
    <s v="No"/>
    <x v="1"/>
    <x v="0"/>
    <n v="0"/>
    <n v="150"/>
    <n v="200"/>
    <n v="0"/>
    <n v="0"/>
    <n v="350"/>
    <n v="0"/>
    <n v="350"/>
    <x v="3"/>
    <x v="8"/>
  </r>
  <r>
    <x v="336"/>
    <x v="83"/>
    <x v="0"/>
    <x v="35"/>
    <s v="29-09-2023"/>
    <x v="1"/>
    <x v="1"/>
    <x v="1"/>
    <x v="1"/>
    <x v="1"/>
    <s v="No"/>
    <x v="1"/>
    <x v="0"/>
    <n v="0"/>
    <n v="150"/>
    <n v="200"/>
    <n v="0"/>
    <n v="140"/>
    <n v="210"/>
    <n v="0"/>
    <n v="210"/>
    <x v="3"/>
    <x v="8"/>
  </r>
  <r>
    <x v="337"/>
    <x v="89"/>
    <x v="1"/>
    <x v="9"/>
    <s v="30-09-2023"/>
    <x v="1"/>
    <x v="0"/>
    <x v="1"/>
    <x v="1"/>
    <x v="1"/>
    <s v="No"/>
    <x v="1"/>
    <x v="0"/>
    <n v="0"/>
    <n v="150"/>
    <n v="200"/>
    <n v="0"/>
    <n v="0"/>
    <n v="350"/>
    <n v="0"/>
    <n v="350"/>
    <x v="2"/>
    <x v="8"/>
  </r>
  <r>
    <x v="338"/>
    <x v="18"/>
    <x v="1"/>
    <x v="3"/>
    <s v="30-09-2023"/>
    <x v="2"/>
    <x v="1"/>
    <x v="3"/>
    <x v="3"/>
    <x v="1"/>
    <s v="No"/>
    <x v="0"/>
    <x v="1"/>
    <n v="0"/>
    <n v="0"/>
    <n v="200"/>
    <n v="0"/>
    <n v="0"/>
    <n v="200"/>
    <n v="0"/>
    <n v="200"/>
    <x v="3"/>
    <x v="8"/>
  </r>
  <r>
    <x v="339"/>
    <x v="83"/>
    <x v="0"/>
    <x v="65"/>
    <d v="2023-04-10T00:00:00"/>
    <x v="4"/>
    <x v="1"/>
    <x v="1"/>
    <x v="1"/>
    <x v="1"/>
    <s v="No"/>
    <x v="1"/>
    <x v="2"/>
    <n v="0"/>
    <n v="150"/>
    <n v="200"/>
    <n v="0"/>
    <n v="140"/>
    <n v="210"/>
    <n v="0"/>
    <n v="210"/>
    <x v="1"/>
    <x v="9"/>
  </r>
  <r>
    <x v="340"/>
    <x v="27"/>
    <x v="0"/>
    <x v="62"/>
    <d v="2023-05-10T00:00:00"/>
    <x v="2"/>
    <x v="0"/>
    <x v="3"/>
    <x v="3"/>
    <x v="1"/>
    <s v="No"/>
    <x v="0"/>
    <x v="0"/>
    <n v="0"/>
    <n v="0"/>
    <n v="200"/>
    <n v="0"/>
    <n v="0"/>
    <n v="200"/>
    <n v="0"/>
    <n v="200"/>
    <x v="1"/>
    <x v="9"/>
  </r>
  <r>
    <x v="341"/>
    <x v="35"/>
    <x v="0"/>
    <x v="57"/>
    <d v="2023-05-10T00:00:00"/>
    <x v="2"/>
    <x v="0"/>
    <x v="1"/>
    <x v="1"/>
    <x v="1"/>
    <s v="No"/>
    <x v="1"/>
    <x v="0"/>
    <n v="0"/>
    <n v="150"/>
    <n v="200"/>
    <n v="0"/>
    <n v="0"/>
    <n v="350"/>
    <n v="0"/>
    <n v="350"/>
    <x v="1"/>
    <x v="9"/>
  </r>
  <r>
    <x v="342"/>
    <x v="69"/>
    <x v="0"/>
    <x v="23"/>
    <d v="2023-07-10T00:00:00"/>
    <x v="9"/>
    <x v="0"/>
    <x v="7"/>
    <x v="7"/>
    <x v="5"/>
    <s v="No"/>
    <x v="1"/>
    <x v="0"/>
    <n v="16689"/>
    <n v="0"/>
    <n v="0"/>
    <n v="4430"/>
    <n v="300"/>
    <n v="16389"/>
    <n v="0"/>
    <n v="11959"/>
    <x v="3"/>
    <x v="9"/>
  </r>
  <r>
    <x v="343"/>
    <x v="43"/>
    <x v="0"/>
    <x v="13"/>
    <d v="2023-09-10T00:00:00"/>
    <x v="0"/>
    <x v="0"/>
    <x v="7"/>
    <x v="7"/>
    <x v="5"/>
    <s v="No"/>
    <x v="1"/>
    <x v="0"/>
    <n v="15644"/>
    <n v="0"/>
    <n v="0"/>
    <n v="2560"/>
    <n v="0"/>
    <n v="15644"/>
    <n v="0"/>
    <n v="13084"/>
    <x v="3"/>
    <x v="9"/>
  </r>
  <r>
    <x v="344"/>
    <x v="52"/>
    <x v="1"/>
    <x v="56"/>
    <d v="2023-09-10T00:00:00"/>
    <x v="2"/>
    <x v="0"/>
    <x v="3"/>
    <x v="3"/>
    <x v="1"/>
    <s v="No"/>
    <x v="0"/>
    <x v="1"/>
    <n v="0"/>
    <n v="0"/>
    <n v="200"/>
    <n v="0"/>
    <n v="0"/>
    <n v="200"/>
    <n v="0"/>
    <n v="200"/>
    <x v="3"/>
    <x v="9"/>
  </r>
  <r>
    <x v="345"/>
    <x v="77"/>
    <x v="0"/>
    <x v="46"/>
    <d v="2023-10-10T00:00:00"/>
    <x v="2"/>
    <x v="0"/>
    <x v="8"/>
    <x v="8"/>
    <x v="6"/>
    <s v="No"/>
    <x v="0"/>
    <x v="0"/>
    <n v="2710"/>
    <n v="0"/>
    <n v="0"/>
    <n v="0"/>
    <n v="0"/>
    <n v="2710"/>
    <n v="0"/>
    <n v="2710"/>
    <x v="1"/>
    <x v="9"/>
  </r>
  <r>
    <x v="346"/>
    <x v="67"/>
    <x v="1"/>
    <x v="36"/>
    <d v="2023-10-10T00:00:00"/>
    <x v="1"/>
    <x v="1"/>
    <x v="1"/>
    <x v="1"/>
    <x v="1"/>
    <s v="No"/>
    <x v="1"/>
    <x v="0"/>
    <n v="0"/>
    <n v="150"/>
    <n v="200"/>
    <n v="0"/>
    <n v="0"/>
    <n v="350"/>
    <n v="0"/>
    <n v="350"/>
    <x v="3"/>
    <x v="9"/>
  </r>
  <r>
    <x v="347"/>
    <x v="87"/>
    <x v="1"/>
    <x v="4"/>
    <d v="2023-10-10T00:00:00"/>
    <x v="2"/>
    <x v="1"/>
    <x v="1"/>
    <x v="1"/>
    <x v="1"/>
    <s v="No"/>
    <x v="1"/>
    <x v="0"/>
    <n v="0"/>
    <n v="150"/>
    <n v="200"/>
    <n v="0"/>
    <n v="0"/>
    <n v="350"/>
    <n v="0"/>
    <n v="350"/>
    <x v="3"/>
    <x v="9"/>
  </r>
  <r>
    <x v="348"/>
    <x v="40"/>
    <x v="0"/>
    <x v="44"/>
    <d v="2023-12-10T00:00:00"/>
    <x v="1"/>
    <x v="0"/>
    <x v="3"/>
    <x v="3"/>
    <x v="1"/>
    <s v="No"/>
    <x v="0"/>
    <x v="0"/>
    <n v="0"/>
    <n v="0"/>
    <n v="200"/>
    <n v="0"/>
    <n v="0"/>
    <n v="200"/>
    <n v="0"/>
    <n v="200"/>
    <x v="1"/>
    <x v="9"/>
  </r>
  <r>
    <x v="349"/>
    <x v="68"/>
    <x v="1"/>
    <x v="40"/>
    <d v="2023-12-10T00:00:00"/>
    <x v="2"/>
    <x v="0"/>
    <x v="1"/>
    <x v="1"/>
    <x v="1"/>
    <s v="No"/>
    <x v="1"/>
    <x v="0"/>
    <n v="0"/>
    <n v="150"/>
    <n v="200"/>
    <n v="0"/>
    <n v="0"/>
    <n v="350"/>
    <n v="0"/>
    <n v="350"/>
    <x v="2"/>
    <x v="9"/>
  </r>
  <r>
    <x v="350"/>
    <x v="10"/>
    <x v="0"/>
    <x v="18"/>
    <s v="13-10-2023"/>
    <x v="0"/>
    <x v="0"/>
    <x v="3"/>
    <x v="3"/>
    <x v="1"/>
    <s v="No"/>
    <x v="0"/>
    <x v="0"/>
    <n v="0"/>
    <n v="0"/>
    <n v="200"/>
    <n v="0"/>
    <n v="80"/>
    <n v="120"/>
    <n v="0"/>
    <n v="120"/>
    <x v="2"/>
    <x v="9"/>
  </r>
  <r>
    <x v="351"/>
    <x v="72"/>
    <x v="0"/>
    <x v="69"/>
    <s v="13-10-2023"/>
    <x v="5"/>
    <x v="0"/>
    <x v="0"/>
    <x v="0"/>
    <x v="0"/>
    <s v="No"/>
    <x v="0"/>
    <x v="1"/>
    <n v="425"/>
    <n v="0"/>
    <n v="0"/>
    <n v="0"/>
    <n v="0"/>
    <n v="425"/>
    <n v="0"/>
    <n v="425"/>
    <x v="3"/>
    <x v="9"/>
  </r>
  <r>
    <x v="352"/>
    <x v="71"/>
    <x v="0"/>
    <x v="73"/>
    <s v="14-10-2023"/>
    <x v="2"/>
    <x v="1"/>
    <x v="3"/>
    <x v="3"/>
    <x v="1"/>
    <s v="No"/>
    <x v="0"/>
    <x v="0"/>
    <n v="0"/>
    <n v="0"/>
    <n v="200"/>
    <n v="0"/>
    <n v="80"/>
    <n v="120"/>
    <n v="0"/>
    <n v="120"/>
    <x v="3"/>
    <x v="9"/>
  </r>
  <r>
    <x v="353"/>
    <x v="51"/>
    <x v="0"/>
    <x v="67"/>
    <s v="16-10-2023"/>
    <x v="5"/>
    <x v="0"/>
    <x v="3"/>
    <x v="3"/>
    <x v="1"/>
    <s v="No"/>
    <x v="0"/>
    <x v="1"/>
    <n v="0"/>
    <n v="0"/>
    <n v="200"/>
    <n v="0"/>
    <n v="0"/>
    <n v="200"/>
    <n v="0"/>
    <n v="200"/>
    <x v="0"/>
    <x v="9"/>
  </r>
  <r>
    <x v="354"/>
    <x v="43"/>
    <x v="0"/>
    <x v="19"/>
    <s v="17-10-2023"/>
    <x v="5"/>
    <x v="1"/>
    <x v="3"/>
    <x v="3"/>
    <x v="1"/>
    <s v="No"/>
    <x v="0"/>
    <x v="0"/>
    <n v="0"/>
    <n v="0"/>
    <n v="200"/>
    <n v="0"/>
    <n v="0"/>
    <n v="200"/>
    <n v="0"/>
    <n v="200"/>
    <x v="3"/>
    <x v="9"/>
  </r>
  <r>
    <x v="355"/>
    <x v="82"/>
    <x v="1"/>
    <x v="59"/>
    <s v="17-10-2023"/>
    <x v="2"/>
    <x v="0"/>
    <x v="1"/>
    <x v="1"/>
    <x v="1"/>
    <s v="No"/>
    <x v="1"/>
    <x v="1"/>
    <n v="0"/>
    <n v="150"/>
    <n v="200"/>
    <n v="0"/>
    <n v="0"/>
    <n v="350"/>
    <n v="0"/>
    <n v="350"/>
    <x v="3"/>
    <x v="9"/>
  </r>
  <r>
    <x v="356"/>
    <x v="57"/>
    <x v="1"/>
    <x v="61"/>
    <s v="18-10-2023"/>
    <x v="1"/>
    <x v="0"/>
    <x v="1"/>
    <x v="1"/>
    <x v="1"/>
    <s v="No"/>
    <x v="1"/>
    <x v="2"/>
    <n v="0"/>
    <n v="150"/>
    <n v="200"/>
    <n v="0"/>
    <n v="0"/>
    <n v="350"/>
    <n v="0"/>
    <n v="350"/>
    <x v="0"/>
    <x v="9"/>
  </r>
  <r>
    <x v="357"/>
    <x v="61"/>
    <x v="1"/>
    <x v="67"/>
    <s v="18-10-2023"/>
    <x v="8"/>
    <x v="1"/>
    <x v="5"/>
    <x v="5"/>
    <x v="4"/>
    <s v="No"/>
    <x v="1"/>
    <x v="0"/>
    <n v="846"/>
    <n v="0"/>
    <n v="0"/>
    <n v="0"/>
    <n v="0"/>
    <n v="846"/>
    <n v="0"/>
    <n v="846"/>
    <x v="2"/>
    <x v="9"/>
  </r>
  <r>
    <x v="358"/>
    <x v="33"/>
    <x v="0"/>
    <x v="16"/>
    <s v="18-10-2023"/>
    <x v="8"/>
    <x v="0"/>
    <x v="8"/>
    <x v="8"/>
    <x v="6"/>
    <s v="No"/>
    <x v="0"/>
    <x v="0"/>
    <n v="4185"/>
    <n v="0"/>
    <n v="0"/>
    <n v="0"/>
    <n v="0"/>
    <n v="4185"/>
    <n v="0"/>
    <n v="4185"/>
    <x v="3"/>
    <x v="9"/>
  </r>
  <r>
    <x v="359"/>
    <x v="64"/>
    <x v="1"/>
    <x v="75"/>
    <s v="19-10-2023"/>
    <x v="0"/>
    <x v="1"/>
    <x v="3"/>
    <x v="3"/>
    <x v="1"/>
    <s v="No"/>
    <x v="0"/>
    <x v="0"/>
    <n v="0"/>
    <n v="0"/>
    <n v="200"/>
    <n v="0"/>
    <n v="0"/>
    <n v="200"/>
    <n v="0"/>
    <n v="200"/>
    <x v="3"/>
    <x v="9"/>
  </r>
  <r>
    <x v="360"/>
    <x v="83"/>
    <x v="0"/>
    <x v="33"/>
    <s v="19-10-2023"/>
    <x v="5"/>
    <x v="0"/>
    <x v="3"/>
    <x v="3"/>
    <x v="1"/>
    <s v="No"/>
    <x v="0"/>
    <x v="0"/>
    <n v="0"/>
    <n v="0"/>
    <n v="200"/>
    <n v="0"/>
    <n v="0"/>
    <n v="200"/>
    <n v="0"/>
    <n v="200"/>
    <x v="0"/>
    <x v="9"/>
  </r>
  <r>
    <x v="361"/>
    <x v="20"/>
    <x v="0"/>
    <x v="47"/>
    <s v="19-10-2023"/>
    <x v="2"/>
    <x v="0"/>
    <x v="3"/>
    <x v="3"/>
    <x v="1"/>
    <s v="No"/>
    <x v="0"/>
    <x v="0"/>
    <n v="0"/>
    <n v="0"/>
    <n v="200"/>
    <n v="0"/>
    <n v="0"/>
    <n v="200"/>
    <n v="0"/>
    <n v="200"/>
    <x v="3"/>
    <x v="9"/>
  </r>
  <r>
    <x v="362"/>
    <x v="8"/>
    <x v="0"/>
    <x v="21"/>
    <s v="20-10-2023"/>
    <x v="7"/>
    <x v="0"/>
    <x v="3"/>
    <x v="3"/>
    <x v="1"/>
    <s v="No"/>
    <x v="0"/>
    <x v="0"/>
    <n v="0"/>
    <n v="0"/>
    <n v="200"/>
    <n v="0"/>
    <n v="80"/>
    <n v="120"/>
    <n v="0"/>
    <n v="120"/>
    <x v="1"/>
    <x v="9"/>
  </r>
  <r>
    <x v="363"/>
    <x v="6"/>
    <x v="0"/>
    <x v="69"/>
    <s v="20-10-2023"/>
    <x v="1"/>
    <x v="0"/>
    <x v="3"/>
    <x v="3"/>
    <x v="1"/>
    <s v="No"/>
    <x v="0"/>
    <x v="1"/>
    <n v="0"/>
    <n v="0"/>
    <n v="200"/>
    <n v="0"/>
    <n v="80"/>
    <n v="120"/>
    <n v="0"/>
    <n v="120"/>
    <x v="3"/>
    <x v="9"/>
  </r>
  <r>
    <x v="364"/>
    <x v="31"/>
    <x v="0"/>
    <x v="40"/>
    <s v="21-10-2023"/>
    <x v="2"/>
    <x v="0"/>
    <x v="1"/>
    <x v="1"/>
    <x v="1"/>
    <s v="No"/>
    <x v="1"/>
    <x v="0"/>
    <n v="0"/>
    <n v="150"/>
    <n v="200"/>
    <n v="0"/>
    <n v="0"/>
    <n v="350"/>
    <n v="0"/>
    <n v="350"/>
    <x v="3"/>
    <x v="9"/>
  </r>
  <r>
    <x v="365"/>
    <x v="76"/>
    <x v="1"/>
    <x v="71"/>
    <s v="23-10-2023"/>
    <x v="5"/>
    <x v="1"/>
    <x v="5"/>
    <x v="5"/>
    <x v="4"/>
    <s v="No"/>
    <x v="1"/>
    <x v="2"/>
    <n v="649"/>
    <n v="0"/>
    <n v="0"/>
    <n v="0"/>
    <n v="0"/>
    <n v="649"/>
    <n v="0"/>
    <n v="649"/>
    <x v="1"/>
    <x v="9"/>
  </r>
  <r>
    <x v="366"/>
    <x v="73"/>
    <x v="1"/>
    <x v="73"/>
    <s v="23-10-2023"/>
    <x v="5"/>
    <x v="1"/>
    <x v="5"/>
    <x v="5"/>
    <x v="4"/>
    <s v="No"/>
    <x v="1"/>
    <x v="2"/>
    <n v="617"/>
    <n v="0"/>
    <n v="0"/>
    <n v="0"/>
    <n v="0"/>
    <n v="617"/>
    <n v="0"/>
    <n v="617"/>
    <x v="3"/>
    <x v="9"/>
  </r>
  <r>
    <x v="367"/>
    <x v="65"/>
    <x v="1"/>
    <x v="9"/>
    <s v="24-10-2023"/>
    <x v="2"/>
    <x v="0"/>
    <x v="3"/>
    <x v="3"/>
    <x v="1"/>
    <s v="No"/>
    <x v="0"/>
    <x v="0"/>
    <n v="0"/>
    <n v="0"/>
    <n v="200"/>
    <n v="0"/>
    <n v="80"/>
    <n v="120"/>
    <n v="0"/>
    <n v="120"/>
    <x v="2"/>
    <x v="9"/>
  </r>
  <r>
    <x v="368"/>
    <x v="57"/>
    <x v="1"/>
    <x v="60"/>
    <s v="24-10-2023"/>
    <x v="2"/>
    <x v="0"/>
    <x v="1"/>
    <x v="1"/>
    <x v="1"/>
    <s v="No"/>
    <x v="1"/>
    <x v="0"/>
    <n v="0"/>
    <n v="150"/>
    <n v="200"/>
    <n v="0"/>
    <n v="140"/>
    <n v="210"/>
    <n v="0"/>
    <n v="210"/>
    <x v="3"/>
    <x v="9"/>
  </r>
  <r>
    <x v="369"/>
    <x v="31"/>
    <x v="0"/>
    <x v="24"/>
    <s v="25-10-2023"/>
    <x v="2"/>
    <x v="1"/>
    <x v="3"/>
    <x v="3"/>
    <x v="1"/>
    <s v="No"/>
    <x v="0"/>
    <x v="0"/>
    <n v="0"/>
    <n v="0"/>
    <n v="200"/>
    <n v="0"/>
    <n v="0"/>
    <n v="200"/>
    <n v="0"/>
    <n v="200"/>
    <x v="3"/>
    <x v="9"/>
  </r>
  <r>
    <x v="370"/>
    <x v="8"/>
    <x v="0"/>
    <x v="20"/>
    <s v="25-10-2023"/>
    <x v="8"/>
    <x v="0"/>
    <x v="1"/>
    <x v="1"/>
    <x v="1"/>
    <s v="No"/>
    <x v="1"/>
    <x v="0"/>
    <n v="0"/>
    <n v="150"/>
    <n v="200"/>
    <n v="0"/>
    <n v="140"/>
    <n v="210"/>
    <n v="0"/>
    <n v="210"/>
    <x v="1"/>
    <x v="9"/>
  </r>
  <r>
    <x v="371"/>
    <x v="88"/>
    <x v="1"/>
    <x v="53"/>
    <s v="26-10-2023"/>
    <x v="5"/>
    <x v="0"/>
    <x v="4"/>
    <x v="4"/>
    <x v="3"/>
    <s v="No"/>
    <x v="1"/>
    <x v="0"/>
    <n v="1660"/>
    <n v="0"/>
    <n v="0"/>
    <n v="0"/>
    <n v="0"/>
    <n v="1660"/>
    <n v="0"/>
    <n v="1660"/>
    <x v="1"/>
    <x v="9"/>
  </r>
  <r>
    <x v="372"/>
    <x v="46"/>
    <x v="0"/>
    <x v="63"/>
    <s v="26-10-2023"/>
    <x v="5"/>
    <x v="0"/>
    <x v="3"/>
    <x v="3"/>
    <x v="1"/>
    <s v="No"/>
    <x v="0"/>
    <x v="0"/>
    <n v="0"/>
    <n v="0"/>
    <n v="200"/>
    <n v="0"/>
    <n v="0"/>
    <n v="200"/>
    <n v="0"/>
    <n v="200"/>
    <x v="2"/>
    <x v="9"/>
  </r>
  <r>
    <x v="373"/>
    <x v="28"/>
    <x v="0"/>
    <x v="34"/>
    <s v="27-10-2023"/>
    <x v="2"/>
    <x v="0"/>
    <x v="3"/>
    <x v="3"/>
    <x v="1"/>
    <s v="No"/>
    <x v="0"/>
    <x v="0"/>
    <n v="0"/>
    <n v="0"/>
    <n v="200"/>
    <n v="0"/>
    <n v="80"/>
    <n v="120"/>
    <n v="0"/>
    <n v="120"/>
    <x v="3"/>
    <x v="9"/>
  </r>
  <r>
    <x v="374"/>
    <x v="78"/>
    <x v="0"/>
    <x v="70"/>
    <s v="27-10-2023"/>
    <x v="7"/>
    <x v="1"/>
    <x v="1"/>
    <x v="1"/>
    <x v="1"/>
    <s v="No"/>
    <x v="1"/>
    <x v="1"/>
    <n v="0"/>
    <n v="150"/>
    <n v="200"/>
    <n v="0"/>
    <n v="0"/>
    <n v="350"/>
    <n v="0"/>
    <n v="350"/>
    <x v="3"/>
    <x v="9"/>
  </r>
  <r>
    <x v="375"/>
    <x v="72"/>
    <x v="0"/>
    <x v="61"/>
    <s v="28-10-2023"/>
    <x v="2"/>
    <x v="1"/>
    <x v="3"/>
    <x v="3"/>
    <x v="1"/>
    <s v="No"/>
    <x v="0"/>
    <x v="1"/>
    <n v="0"/>
    <n v="0"/>
    <n v="200"/>
    <n v="0"/>
    <n v="80"/>
    <n v="120"/>
    <n v="0"/>
    <n v="120"/>
    <x v="2"/>
    <x v="9"/>
  </r>
  <r>
    <x v="376"/>
    <x v="80"/>
    <x v="1"/>
    <x v="42"/>
    <s v="30-10-2023"/>
    <x v="5"/>
    <x v="0"/>
    <x v="3"/>
    <x v="3"/>
    <x v="1"/>
    <s v="No"/>
    <x v="0"/>
    <x v="0"/>
    <n v="0"/>
    <n v="0"/>
    <n v="200"/>
    <n v="0"/>
    <n v="0"/>
    <n v="200"/>
    <n v="0"/>
    <n v="200"/>
    <x v="3"/>
    <x v="9"/>
  </r>
  <r>
    <x v="377"/>
    <x v="55"/>
    <x v="1"/>
    <x v="43"/>
    <s v="30-10-2023"/>
    <x v="1"/>
    <x v="1"/>
    <x v="1"/>
    <x v="1"/>
    <x v="1"/>
    <s v="No"/>
    <x v="1"/>
    <x v="0"/>
    <n v="0"/>
    <n v="150"/>
    <n v="200"/>
    <n v="0"/>
    <n v="140"/>
    <n v="210"/>
    <n v="0"/>
    <n v="210"/>
    <x v="2"/>
    <x v="9"/>
  </r>
  <r>
    <x v="378"/>
    <x v="75"/>
    <x v="1"/>
    <x v="51"/>
    <s v="31-10-2023"/>
    <x v="1"/>
    <x v="0"/>
    <x v="1"/>
    <x v="1"/>
    <x v="1"/>
    <s v="No"/>
    <x v="1"/>
    <x v="0"/>
    <n v="0"/>
    <n v="150"/>
    <n v="200"/>
    <n v="0"/>
    <n v="140"/>
    <n v="210"/>
    <n v="0"/>
    <n v="210"/>
    <x v="0"/>
    <x v="9"/>
  </r>
  <r>
    <x v="379"/>
    <x v="28"/>
    <x v="0"/>
    <x v="35"/>
    <s v="31-10-2023"/>
    <x v="4"/>
    <x v="0"/>
    <x v="3"/>
    <x v="3"/>
    <x v="1"/>
    <s v="No"/>
    <x v="0"/>
    <x v="0"/>
    <n v="0"/>
    <n v="0"/>
    <n v="200"/>
    <n v="0"/>
    <n v="0"/>
    <n v="200"/>
    <n v="0"/>
    <n v="200"/>
    <x v="1"/>
    <x v="9"/>
  </r>
  <r>
    <x v="380"/>
    <x v="21"/>
    <x v="0"/>
    <x v="9"/>
    <d v="2023-01-11T00:00:00"/>
    <x v="5"/>
    <x v="0"/>
    <x v="1"/>
    <x v="1"/>
    <x v="1"/>
    <s v="No"/>
    <x v="1"/>
    <x v="0"/>
    <n v="0"/>
    <n v="150"/>
    <n v="200"/>
    <n v="0"/>
    <n v="0"/>
    <n v="350"/>
    <n v="0"/>
    <n v="350"/>
    <x v="0"/>
    <x v="10"/>
  </r>
  <r>
    <x v="381"/>
    <x v="51"/>
    <x v="0"/>
    <x v="26"/>
    <d v="2023-02-11T00:00:00"/>
    <x v="6"/>
    <x v="0"/>
    <x v="1"/>
    <x v="1"/>
    <x v="1"/>
    <s v="No"/>
    <x v="1"/>
    <x v="0"/>
    <n v="0"/>
    <n v="150"/>
    <n v="200"/>
    <n v="0"/>
    <n v="0"/>
    <n v="350"/>
    <n v="0"/>
    <n v="350"/>
    <x v="2"/>
    <x v="10"/>
  </r>
  <r>
    <x v="382"/>
    <x v="38"/>
    <x v="0"/>
    <x v="51"/>
    <d v="2023-03-11T00:00:00"/>
    <x v="1"/>
    <x v="0"/>
    <x v="7"/>
    <x v="7"/>
    <x v="5"/>
    <s v="No"/>
    <x v="0"/>
    <x v="2"/>
    <n v="14967"/>
    <n v="0"/>
    <n v="0"/>
    <n v="3670"/>
    <n v="0"/>
    <n v="14967"/>
    <n v="0"/>
    <n v="11297"/>
    <x v="3"/>
    <x v="10"/>
  </r>
  <r>
    <x v="383"/>
    <x v="38"/>
    <x v="0"/>
    <x v="16"/>
    <d v="2023-05-11T00:00:00"/>
    <x v="2"/>
    <x v="1"/>
    <x v="9"/>
    <x v="9"/>
    <x v="7"/>
    <s v="No"/>
    <x v="0"/>
    <x v="0"/>
    <n v="3447"/>
    <n v="0"/>
    <n v="0"/>
    <n v="1260"/>
    <n v="200"/>
    <n v="3023"/>
    <n v="224"/>
    <n v="1763"/>
    <x v="3"/>
    <x v="10"/>
  </r>
  <r>
    <x v="384"/>
    <x v="55"/>
    <x v="1"/>
    <x v="37"/>
    <d v="2023-06-11T00:00:00"/>
    <x v="8"/>
    <x v="1"/>
    <x v="5"/>
    <x v="5"/>
    <x v="4"/>
    <s v="No"/>
    <x v="1"/>
    <x v="0"/>
    <n v="870"/>
    <n v="0"/>
    <n v="0"/>
    <n v="0"/>
    <n v="348"/>
    <n v="522"/>
    <n v="0"/>
    <n v="522"/>
    <x v="3"/>
    <x v="10"/>
  </r>
  <r>
    <x v="385"/>
    <x v="38"/>
    <x v="0"/>
    <x v="41"/>
    <d v="2023-06-11T00:00:00"/>
    <x v="2"/>
    <x v="0"/>
    <x v="1"/>
    <x v="1"/>
    <x v="1"/>
    <s v="No"/>
    <x v="1"/>
    <x v="0"/>
    <n v="0"/>
    <n v="150"/>
    <n v="200"/>
    <n v="0"/>
    <n v="0"/>
    <n v="350"/>
    <n v="0"/>
    <n v="350"/>
    <x v="1"/>
    <x v="10"/>
  </r>
  <r>
    <x v="386"/>
    <x v="85"/>
    <x v="0"/>
    <x v="71"/>
    <d v="2023-07-11T00:00:00"/>
    <x v="4"/>
    <x v="0"/>
    <x v="1"/>
    <x v="1"/>
    <x v="1"/>
    <s v="No"/>
    <x v="1"/>
    <x v="0"/>
    <n v="0"/>
    <n v="150"/>
    <n v="200"/>
    <n v="0"/>
    <n v="140"/>
    <n v="210"/>
    <n v="0"/>
    <n v="210"/>
    <x v="3"/>
    <x v="10"/>
  </r>
  <r>
    <x v="387"/>
    <x v="78"/>
    <x v="0"/>
    <x v="23"/>
    <d v="2023-07-11T00:00:00"/>
    <x v="5"/>
    <x v="0"/>
    <x v="0"/>
    <x v="0"/>
    <x v="0"/>
    <s v="No"/>
    <x v="1"/>
    <x v="0"/>
    <n v="691"/>
    <n v="0"/>
    <n v="0"/>
    <n v="0"/>
    <n v="0"/>
    <n v="691"/>
    <n v="0"/>
    <n v="691"/>
    <x v="1"/>
    <x v="10"/>
  </r>
  <r>
    <x v="388"/>
    <x v="54"/>
    <x v="1"/>
    <x v="64"/>
    <d v="2023-08-11T00:00:00"/>
    <x v="2"/>
    <x v="0"/>
    <x v="1"/>
    <x v="1"/>
    <x v="1"/>
    <s v="No"/>
    <x v="1"/>
    <x v="0"/>
    <n v="0"/>
    <n v="150"/>
    <n v="200"/>
    <n v="0"/>
    <n v="0"/>
    <n v="350"/>
    <n v="0"/>
    <n v="350"/>
    <x v="1"/>
    <x v="10"/>
  </r>
  <r>
    <x v="389"/>
    <x v="38"/>
    <x v="0"/>
    <x v="75"/>
    <d v="2023-08-11T00:00:00"/>
    <x v="2"/>
    <x v="0"/>
    <x v="3"/>
    <x v="3"/>
    <x v="1"/>
    <s v="No"/>
    <x v="0"/>
    <x v="0"/>
    <n v="0"/>
    <n v="0"/>
    <n v="200"/>
    <n v="0"/>
    <n v="80"/>
    <n v="120"/>
    <n v="0"/>
    <n v="120"/>
    <x v="2"/>
    <x v="10"/>
  </r>
  <r>
    <x v="390"/>
    <x v="7"/>
    <x v="1"/>
    <x v="46"/>
    <d v="2023-08-11T00:00:00"/>
    <x v="1"/>
    <x v="0"/>
    <x v="4"/>
    <x v="4"/>
    <x v="3"/>
    <s v="No"/>
    <x v="1"/>
    <x v="1"/>
    <n v="1759"/>
    <n v="0"/>
    <n v="0"/>
    <n v="0"/>
    <n v="500"/>
    <n v="1259"/>
    <n v="0"/>
    <n v="1259"/>
    <x v="1"/>
    <x v="10"/>
  </r>
  <r>
    <x v="391"/>
    <x v="81"/>
    <x v="0"/>
    <x v="63"/>
    <d v="2023-09-11T00:00:00"/>
    <x v="1"/>
    <x v="0"/>
    <x v="1"/>
    <x v="1"/>
    <x v="1"/>
    <s v="No"/>
    <x v="1"/>
    <x v="0"/>
    <n v="0"/>
    <n v="150"/>
    <n v="200"/>
    <n v="0"/>
    <n v="0"/>
    <n v="350"/>
    <n v="0"/>
    <n v="350"/>
    <x v="3"/>
    <x v="10"/>
  </r>
  <r>
    <x v="392"/>
    <x v="8"/>
    <x v="0"/>
    <x v="7"/>
    <d v="2023-09-11T00:00:00"/>
    <x v="1"/>
    <x v="0"/>
    <x v="1"/>
    <x v="1"/>
    <x v="1"/>
    <s v="No"/>
    <x v="1"/>
    <x v="1"/>
    <n v="0"/>
    <n v="150"/>
    <n v="200"/>
    <n v="0"/>
    <n v="140"/>
    <n v="210"/>
    <n v="0"/>
    <n v="210"/>
    <x v="1"/>
    <x v="10"/>
  </r>
  <r>
    <x v="393"/>
    <x v="14"/>
    <x v="1"/>
    <x v="63"/>
    <d v="2023-09-11T00:00:00"/>
    <x v="13"/>
    <x v="0"/>
    <x v="1"/>
    <x v="1"/>
    <x v="1"/>
    <s v="No"/>
    <x v="1"/>
    <x v="0"/>
    <n v="0"/>
    <n v="150"/>
    <n v="200"/>
    <n v="0"/>
    <n v="0"/>
    <n v="350"/>
    <n v="0"/>
    <n v="350"/>
    <x v="2"/>
    <x v="10"/>
  </r>
  <r>
    <x v="394"/>
    <x v="20"/>
    <x v="0"/>
    <x v="23"/>
    <d v="2023-10-11T00:00:00"/>
    <x v="1"/>
    <x v="0"/>
    <x v="3"/>
    <x v="3"/>
    <x v="1"/>
    <s v="No"/>
    <x v="0"/>
    <x v="0"/>
    <n v="0"/>
    <n v="0"/>
    <n v="200"/>
    <n v="0"/>
    <n v="0"/>
    <n v="200"/>
    <n v="0"/>
    <n v="200"/>
    <x v="3"/>
    <x v="10"/>
  </r>
  <r>
    <x v="395"/>
    <x v="64"/>
    <x v="1"/>
    <x v="28"/>
    <d v="2023-10-11T00:00:00"/>
    <x v="5"/>
    <x v="1"/>
    <x v="0"/>
    <x v="0"/>
    <x v="0"/>
    <s v="No"/>
    <x v="0"/>
    <x v="0"/>
    <n v="618"/>
    <n v="0"/>
    <n v="0"/>
    <n v="0"/>
    <n v="0"/>
    <n v="618"/>
    <n v="0"/>
    <n v="618"/>
    <x v="3"/>
    <x v="10"/>
  </r>
  <r>
    <x v="396"/>
    <x v="44"/>
    <x v="1"/>
    <x v="12"/>
    <d v="2023-10-11T00:00:00"/>
    <x v="5"/>
    <x v="0"/>
    <x v="4"/>
    <x v="4"/>
    <x v="3"/>
    <s v="No"/>
    <x v="0"/>
    <x v="0"/>
    <n v="1523"/>
    <n v="0"/>
    <n v="0"/>
    <n v="0"/>
    <n v="200"/>
    <n v="1209"/>
    <n v="114"/>
    <n v="1209"/>
    <x v="2"/>
    <x v="10"/>
  </r>
  <r>
    <x v="397"/>
    <x v="34"/>
    <x v="1"/>
    <x v="32"/>
    <s v="15-11-2023"/>
    <x v="5"/>
    <x v="0"/>
    <x v="3"/>
    <x v="3"/>
    <x v="1"/>
    <s v="No"/>
    <x v="0"/>
    <x v="0"/>
    <n v="0"/>
    <n v="0"/>
    <n v="200"/>
    <n v="0"/>
    <n v="0"/>
    <n v="200"/>
    <n v="0"/>
    <n v="200"/>
    <x v="3"/>
    <x v="10"/>
  </r>
  <r>
    <x v="398"/>
    <x v="54"/>
    <x v="1"/>
    <x v="22"/>
    <s v="17-11-2023"/>
    <x v="2"/>
    <x v="0"/>
    <x v="1"/>
    <x v="1"/>
    <x v="1"/>
    <s v="No"/>
    <x v="1"/>
    <x v="0"/>
    <n v="0"/>
    <n v="150"/>
    <n v="200"/>
    <n v="0"/>
    <n v="100"/>
    <n v="250"/>
    <n v="0"/>
    <n v="250"/>
    <x v="2"/>
    <x v="10"/>
  </r>
  <r>
    <x v="399"/>
    <x v="47"/>
    <x v="1"/>
    <x v="72"/>
    <s v="17-11-2023"/>
    <x v="5"/>
    <x v="0"/>
    <x v="1"/>
    <x v="1"/>
    <x v="1"/>
    <s v="No"/>
    <x v="1"/>
    <x v="0"/>
    <n v="0"/>
    <n v="150"/>
    <n v="200"/>
    <n v="0"/>
    <n v="0"/>
    <n v="350"/>
    <n v="0"/>
    <n v="350"/>
    <x v="0"/>
    <x v="10"/>
  </r>
  <r>
    <x v="400"/>
    <x v="82"/>
    <x v="1"/>
    <x v="33"/>
    <s v="18-11-2023"/>
    <x v="8"/>
    <x v="1"/>
    <x v="9"/>
    <x v="9"/>
    <x v="7"/>
    <s v="No"/>
    <x v="0"/>
    <x v="0"/>
    <n v="2503"/>
    <n v="0"/>
    <n v="0"/>
    <n v="760"/>
    <n v="0"/>
    <n v="2503"/>
    <n v="0"/>
    <n v="1743"/>
    <x v="1"/>
    <x v="10"/>
  </r>
  <r>
    <x v="401"/>
    <x v="58"/>
    <x v="0"/>
    <x v="71"/>
    <s v="18-11-2023"/>
    <x v="5"/>
    <x v="0"/>
    <x v="1"/>
    <x v="1"/>
    <x v="1"/>
    <s v="No"/>
    <x v="1"/>
    <x v="0"/>
    <n v="0"/>
    <n v="150"/>
    <n v="200"/>
    <n v="0"/>
    <n v="0"/>
    <n v="350"/>
    <n v="0"/>
    <n v="350"/>
    <x v="2"/>
    <x v="10"/>
  </r>
  <r>
    <x v="402"/>
    <x v="75"/>
    <x v="1"/>
    <x v="68"/>
    <s v="21-11-2023"/>
    <x v="5"/>
    <x v="0"/>
    <x v="0"/>
    <x v="0"/>
    <x v="0"/>
    <s v="No"/>
    <x v="1"/>
    <x v="0"/>
    <n v="512"/>
    <n v="0"/>
    <n v="0"/>
    <n v="0"/>
    <n v="204.8"/>
    <n v="307.2"/>
    <n v="0"/>
    <n v="307.2"/>
    <x v="0"/>
    <x v="10"/>
  </r>
  <r>
    <x v="403"/>
    <x v="30"/>
    <x v="1"/>
    <x v="17"/>
    <s v="21-11-2023"/>
    <x v="2"/>
    <x v="0"/>
    <x v="1"/>
    <x v="1"/>
    <x v="1"/>
    <s v="No"/>
    <x v="1"/>
    <x v="1"/>
    <n v="0"/>
    <n v="150"/>
    <n v="200"/>
    <n v="0"/>
    <n v="0"/>
    <n v="350"/>
    <n v="0"/>
    <n v="350"/>
    <x v="1"/>
    <x v="10"/>
  </r>
  <r>
    <x v="404"/>
    <x v="14"/>
    <x v="1"/>
    <x v="70"/>
    <s v="23-11-2023"/>
    <x v="2"/>
    <x v="0"/>
    <x v="3"/>
    <x v="3"/>
    <x v="1"/>
    <s v="No"/>
    <x v="0"/>
    <x v="0"/>
    <n v="0"/>
    <n v="0"/>
    <n v="200"/>
    <n v="0"/>
    <n v="0"/>
    <n v="200"/>
    <n v="0"/>
    <n v="200"/>
    <x v="3"/>
    <x v="10"/>
  </r>
  <r>
    <x v="405"/>
    <x v="82"/>
    <x v="1"/>
    <x v="55"/>
    <s v="23-11-2023"/>
    <x v="10"/>
    <x v="1"/>
    <x v="1"/>
    <x v="1"/>
    <x v="1"/>
    <s v="No"/>
    <x v="1"/>
    <x v="0"/>
    <n v="0"/>
    <n v="150"/>
    <n v="200"/>
    <n v="0"/>
    <n v="0"/>
    <n v="350"/>
    <n v="0"/>
    <n v="350"/>
    <x v="2"/>
    <x v="10"/>
  </r>
  <r>
    <x v="406"/>
    <x v="8"/>
    <x v="0"/>
    <x v="71"/>
    <s v="24-11-2023"/>
    <x v="2"/>
    <x v="1"/>
    <x v="1"/>
    <x v="1"/>
    <x v="1"/>
    <s v="No"/>
    <x v="1"/>
    <x v="1"/>
    <n v="0"/>
    <n v="150"/>
    <n v="200"/>
    <n v="0"/>
    <n v="0"/>
    <n v="350"/>
    <n v="0"/>
    <n v="350"/>
    <x v="3"/>
    <x v="10"/>
  </r>
  <r>
    <x v="407"/>
    <x v="41"/>
    <x v="0"/>
    <x v="62"/>
    <s v="25-11-2023"/>
    <x v="2"/>
    <x v="1"/>
    <x v="1"/>
    <x v="1"/>
    <x v="1"/>
    <s v="No"/>
    <x v="1"/>
    <x v="0"/>
    <n v="0"/>
    <n v="150"/>
    <n v="200"/>
    <n v="0"/>
    <n v="0"/>
    <n v="350"/>
    <n v="0"/>
    <n v="350"/>
    <x v="2"/>
    <x v="10"/>
  </r>
  <r>
    <x v="408"/>
    <x v="19"/>
    <x v="1"/>
    <x v="33"/>
    <s v="27-11-2023"/>
    <x v="5"/>
    <x v="0"/>
    <x v="3"/>
    <x v="3"/>
    <x v="1"/>
    <s v="No"/>
    <x v="0"/>
    <x v="0"/>
    <n v="0"/>
    <n v="0"/>
    <n v="200"/>
    <n v="0"/>
    <n v="0"/>
    <n v="200"/>
    <n v="0"/>
    <n v="200"/>
    <x v="0"/>
    <x v="10"/>
  </r>
  <r>
    <x v="409"/>
    <x v="59"/>
    <x v="1"/>
    <x v="53"/>
    <s v="28-11-2023"/>
    <x v="1"/>
    <x v="1"/>
    <x v="9"/>
    <x v="9"/>
    <x v="7"/>
    <s v="No"/>
    <x v="1"/>
    <x v="0"/>
    <n v="3894"/>
    <n v="0"/>
    <n v="0"/>
    <n v="1220"/>
    <n v="0"/>
    <n v="3894"/>
    <n v="0"/>
    <n v="2674"/>
    <x v="3"/>
    <x v="10"/>
  </r>
  <r>
    <x v="410"/>
    <x v="50"/>
    <x v="1"/>
    <x v="58"/>
    <s v="28-11-2023"/>
    <x v="8"/>
    <x v="0"/>
    <x v="3"/>
    <x v="3"/>
    <x v="1"/>
    <s v="No"/>
    <x v="0"/>
    <x v="0"/>
    <n v="0"/>
    <n v="0"/>
    <n v="200"/>
    <n v="0"/>
    <n v="0"/>
    <n v="200"/>
    <n v="0"/>
    <n v="200"/>
    <x v="3"/>
    <x v="10"/>
  </r>
  <r>
    <x v="411"/>
    <x v="83"/>
    <x v="0"/>
    <x v="8"/>
    <s v="28-11-2023"/>
    <x v="3"/>
    <x v="0"/>
    <x v="1"/>
    <x v="1"/>
    <x v="1"/>
    <s v="No"/>
    <x v="1"/>
    <x v="0"/>
    <n v="0"/>
    <n v="150"/>
    <n v="200"/>
    <n v="0"/>
    <n v="0"/>
    <n v="350"/>
    <n v="0"/>
    <n v="350"/>
    <x v="1"/>
    <x v="10"/>
  </r>
  <r>
    <x v="412"/>
    <x v="15"/>
    <x v="1"/>
    <x v="38"/>
    <s v="29-11-2023"/>
    <x v="1"/>
    <x v="0"/>
    <x v="8"/>
    <x v="8"/>
    <x v="6"/>
    <s v="No"/>
    <x v="1"/>
    <x v="0"/>
    <n v="3676"/>
    <n v="0"/>
    <n v="0"/>
    <n v="0"/>
    <n v="0"/>
    <n v="2348"/>
    <n v="1328"/>
    <n v="2348"/>
    <x v="3"/>
    <x v="10"/>
  </r>
  <r>
    <x v="413"/>
    <x v="10"/>
    <x v="0"/>
    <x v="15"/>
    <s v="30-11-2023"/>
    <x v="2"/>
    <x v="0"/>
    <x v="3"/>
    <x v="3"/>
    <x v="1"/>
    <s v="No"/>
    <x v="0"/>
    <x v="0"/>
    <n v="0"/>
    <n v="0"/>
    <n v="200"/>
    <n v="0"/>
    <n v="0"/>
    <n v="200"/>
    <n v="0"/>
    <n v="200"/>
    <x v="1"/>
    <x v="10"/>
  </r>
  <r>
    <x v="414"/>
    <x v="46"/>
    <x v="0"/>
    <x v="57"/>
    <s v="30-11-2023"/>
    <x v="2"/>
    <x v="0"/>
    <x v="3"/>
    <x v="3"/>
    <x v="1"/>
    <s v="No"/>
    <x v="0"/>
    <x v="0"/>
    <n v="0"/>
    <n v="0"/>
    <n v="200"/>
    <n v="0"/>
    <n v="0"/>
    <n v="200"/>
    <n v="0"/>
    <n v="200"/>
    <x v="2"/>
    <x v="10"/>
  </r>
  <r>
    <x v="415"/>
    <x v="21"/>
    <x v="0"/>
    <x v="65"/>
    <d v="2023-02-12T00:00:00"/>
    <x v="8"/>
    <x v="0"/>
    <x v="3"/>
    <x v="3"/>
    <x v="1"/>
    <s v="No"/>
    <x v="0"/>
    <x v="0"/>
    <n v="0"/>
    <n v="0"/>
    <n v="200"/>
    <n v="0"/>
    <n v="0"/>
    <n v="200"/>
    <n v="0"/>
    <n v="200"/>
    <x v="0"/>
    <x v="11"/>
  </r>
  <r>
    <x v="416"/>
    <x v="14"/>
    <x v="1"/>
    <x v="59"/>
    <d v="2023-05-12T00:00:00"/>
    <x v="7"/>
    <x v="0"/>
    <x v="3"/>
    <x v="3"/>
    <x v="1"/>
    <s v="No"/>
    <x v="0"/>
    <x v="0"/>
    <n v="0"/>
    <n v="0"/>
    <n v="200"/>
    <n v="0"/>
    <n v="0"/>
    <n v="200"/>
    <n v="0"/>
    <n v="200"/>
    <x v="3"/>
    <x v="11"/>
  </r>
  <r>
    <x v="417"/>
    <x v="25"/>
    <x v="1"/>
    <x v="68"/>
    <d v="2023-05-12T00:00:00"/>
    <x v="5"/>
    <x v="0"/>
    <x v="1"/>
    <x v="1"/>
    <x v="1"/>
    <s v="No"/>
    <x v="1"/>
    <x v="0"/>
    <n v="0"/>
    <n v="150"/>
    <n v="200"/>
    <n v="0"/>
    <n v="0"/>
    <n v="350"/>
    <n v="0"/>
    <n v="350"/>
    <x v="3"/>
    <x v="11"/>
  </r>
  <r>
    <x v="418"/>
    <x v="34"/>
    <x v="1"/>
    <x v="47"/>
    <d v="2023-06-12T00:00:00"/>
    <x v="0"/>
    <x v="0"/>
    <x v="1"/>
    <x v="1"/>
    <x v="1"/>
    <s v="No"/>
    <x v="1"/>
    <x v="0"/>
    <n v="0"/>
    <n v="150"/>
    <n v="200"/>
    <n v="0"/>
    <n v="0"/>
    <n v="350"/>
    <n v="0"/>
    <n v="350"/>
    <x v="0"/>
    <x v="11"/>
  </r>
  <r>
    <x v="419"/>
    <x v="42"/>
    <x v="0"/>
    <x v="20"/>
    <d v="2023-06-12T00:00:00"/>
    <x v="6"/>
    <x v="0"/>
    <x v="3"/>
    <x v="3"/>
    <x v="1"/>
    <s v="No"/>
    <x v="0"/>
    <x v="0"/>
    <n v="0"/>
    <n v="0"/>
    <n v="200"/>
    <n v="0"/>
    <n v="0"/>
    <n v="200"/>
    <n v="0"/>
    <n v="200"/>
    <x v="2"/>
    <x v="11"/>
  </r>
  <r>
    <x v="420"/>
    <x v="26"/>
    <x v="0"/>
    <x v="40"/>
    <d v="2023-06-12T00:00:00"/>
    <x v="2"/>
    <x v="0"/>
    <x v="1"/>
    <x v="1"/>
    <x v="1"/>
    <s v="No"/>
    <x v="1"/>
    <x v="0"/>
    <n v="0"/>
    <n v="150"/>
    <n v="200"/>
    <n v="0"/>
    <n v="0"/>
    <n v="350"/>
    <n v="0"/>
    <n v="350"/>
    <x v="1"/>
    <x v="11"/>
  </r>
  <r>
    <x v="421"/>
    <x v="61"/>
    <x v="1"/>
    <x v="17"/>
    <d v="2023-06-12T00:00:00"/>
    <x v="2"/>
    <x v="0"/>
    <x v="7"/>
    <x v="7"/>
    <x v="5"/>
    <s v="No"/>
    <x v="1"/>
    <x v="0"/>
    <n v="17426"/>
    <n v="0"/>
    <n v="0"/>
    <n v="3880"/>
    <n v="0"/>
    <n v="17426"/>
    <n v="0"/>
    <n v="13546"/>
    <x v="1"/>
    <x v="11"/>
  </r>
  <r>
    <x v="422"/>
    <x v="54"/>
    <x v="1"/>
    <x v="54"/>
    <d v="2023-08-12T00:00:00"/>
    <x v="5"/>
    <x v="0"/>
    <x v="6"/>
    <x v="6"/>
    <x v="4"/>
    <s v="No"/>
    <x v="1"/>
    <x v="1"/>
    <n v="26277"/>
    <n v="0"/>
    <n v="0"/>
    <n v="6600"/>
    <n v="0"/>
    <n v="26277"/>
    <n v="0"/>
    <n v="19677"/>
    <x v="1"/>
    <x v="11"/>
  </r>
  <r>
    <x v="423"/>
    <x v="12"/>
    <x v="1"/>
    <x v="52"/>
    <d v="2023-08-12T00:00:00"/>
    <x v="5"/>
    <x v="0"/>
    <x v="7"/>
    <x v="7"/>
    <x v="5"/>
    <s v="No"/>
    <x v="1"/>
    <x v="0"/>
    <n v="18196"/>
    <n v="0"/>
    <n v="0"/>
    <n v="4490"/>
    <n v="0"/>
    <n v="18196"/>
    <n v="0"/>
    <n v="13706"/>
    <x v="2"/>
    <x v="11"/>
  </r>
  <r>
    <x v="424"/>
    <x v="68"/>
    <x v="1"/>
    <x v="58"/>
    <d v="2023-08-12T00:00:00"/>
    <x v="2"/>
    <x v="1"/>
    <x v="1"/>
    <x v="1"/>
    <x v="1"/>
    <s v="No"/>
    <x v="1"/>
    <x v="0"/>
    <n v="0"/>
    <n v="150"/>
    <n v="200"/>
    <n v="0"/>
    <n v="0"/>
    <n v="350"/>
    <n v="0"/>
    <n v="350"/>
    <x v="1"/>
    <x v="11"/>
  </r>
  <r>
    <x v="425"/>
    <x v="14"/>
    <x v="1"/>
    <x v="59"/>
    <d v="2023-08-12T00:00:00"/>
    <x v="5"/>
    <x v="0"/>
    <x v="1"/>
    <x v="1"/>
    <x v="1"/>
    <s v="No"/>
    <x v="1"/>
    <x v="0"/>
    <n v="0"/>
    <n v="150"/>
    <n v="200"/>
    <n v="0"/>
    <n v="0"/>
    <n v="350"/>
    <n v="0"/>
    <n v="350"/>
    <x v="2"/>
    <x v="11"/>
  </r>
  <r>
    <x v="426"/>
    <x v="69"/>
    <x v="0"/>
    <x v="8"/>
    <d v="2023-09-12T00:00:00"/>
    <x v="6"/>
    <x v="0"/>
    <x v="3"/>
    <x v="3"/>
    <x v="1"/>
    <s v="No"/>
    <x v="0"/>
    <x v="0"/>
    <n v="0"/>
    <n v="0"/>
    <n v="200"/>
    <n v="0"/>
    <n v="50"/>
    <n v="150"/>
    <n v="0"/>
    <n v="150"/>
    <x v="2"/>
    <x v="11"/>
  </r>
  <r>
    <x v="427"/>
    <x v="54"/>
    <x v="1"/>
    <x v="19"/>
    <d v="2023-10-12T00:00:00"/>
    <x v="1"/>
    <x v="0"/>
    <x v="1"/>
    <x v="1"/>
    <x v="1"/>
    <s v="No"/>
    <x v="1"/>
    <x v="0"/>
    <n v="0"/>
    <n v="150"/>
    <n v="200"/>
    <n v="0"/>
    <n v="140"/>
    <n v="210"/>
    <n v="0"/>
    <n v="210"/>
    <x v="3"/>
    <x v="11"/>
  </r>
  <r>
    <x v="428"/>
    <x v="19"/>
    <x v="1"/>
    <x v="13"/>
    <d v="2023-11-12T00:00:00"/>
    <x v="5"/>
    <x v="0"/>
    <x v="3"/>
    <x v="3"/>
    <x v="1"/>
    <s v="No"/>
    <x v="0"/>
    <x v="1"/>
    <n v="0"/>
    <n v="0"/>
    <n v="200"/>
    <n v="0"/>
    <n v="0"/>
    <n v="200"/>
    <n v="0"/>
    <n v="200"/>
    <x v="3"/>
    <x v="11"/>
  </r>
  <r>
    <x v="429"/>
    <x v="75"/>
    <x v="1"/>
    <x v="19"/>
    <d v="2023-12-12T00:00:00"/>
    <x v="2"/>
    <x v="0"/>
    <x v="1"/>
    <x v="1"/>
    <x v="1"/>
    <s v="No"/>
    <x v="1"/>
    <x v="2"/>
    <n v="0"/>
    <n v="150"/>
    <n v="200"/>
    <n v="0"/>
    <n v="0"/>
    <n v="350"/>
    <n v="0"/>
    <n v="350"/>
    <x v="3"/>
    <x v="11"/>
  </r>
  <r>
    <x v="430"/>
    <x v="81"/>
    <x v="0"/>
    <x v="3"/>
    <d v="2023-12-12T00:00:00"/>
    <x v="2"/>
    <x v="1"/>
    <x v="3"/>
    <x v="3"/>
    <x v="1"/>
    <s v="No"/>
    <x v="0"/>
    <x v="0"/>
    <n v="0"/>
    <n v="0"/>
    <n v="200"/>
    <n v="0"/>
    <n v="0"/>
    <n v="200"/>
    <n v="0"/>
    <n v="200"/>
    <x v="1"/>
    <x v="11"/>
  </r>
  <r>
    <x v="431"/>
    <x v="6"/>
    <x v="0"/>
    <x v="43"/>
    <d v="2023-12-12T00:00:00"/>
    <x v="5"/>
    <x v="0"/>
    <x v="6"/>
    <x v="6"/>
    <x v="4"/>
    <s v="No"/>
    <x v="1"/>
    <x v="0"/>
    <n v="27830"/>
    <n v="0"/>
    <n v="0"/>
    <n v="8840"/>
    <n v="0"/>
    <n v="27830"/>
    <n v="0"/>
    <n v="18990"/>
    <x v="2"/>
    <x v="11"/>
  </r>
  <r>
    <x v="432"/>
    <x v="16"/>
    <x v="0"/>
    <x v="37"/>
    <s v="13-12-2023"/>
    <x v="2"/>
    <x v="1"/>
    <x v="2"/>
    <x v="2"/>
    <x v="2"/>
    <s v="No"/>
    <x v="0"/>
    <x v="1"/>
    <n v="1124"/>
    <n v="0"/>
    <n v="0"/>
    <n v="0"/>
    <n v="0"/>
    <n v="1124"/>
    <n v="0"/>
    <n v="1124"/>
    <x v="2"/>
    <x v="11"/>
  </r>
  <r>
    <x v="433"/>
    <x v="60"/>
    <x v="0"/>
    <x v="39"/>
    <s v="14-12-2023"/>
    <x v="1"/>
    <x v="0"/>
    <x v="1"/>
    <x v="1"/>
    <x v="1"/>
    <s v="No"/>
    <x v="1"/>
    <x v="0"/>
    <n v="0"/>
    <n v="150"/>
    <n v="200"/>
    <n v="0"/>
    <n v="0"/>
    <n v="350"/>
    <n v="0"/>
    <n v="350"/>
    <x v="2"/>
    <x v="11"/>
  </r>
  <r>
    <x v="434"/>
    <x v="44"/>
    <x v="1"/>
    <x v="65"/>
    <s v="15-12-2023"/>
    <x v="13"/>
    <x v="1"/>
    <x v="1"/>
    <x v="1"/>
    <x v="1"/>
    <s v="No"/>
    <x v="1"/>
    <x v="0"/>
    <n v="0"/>
    <n v="150"/>
    <n v="200"/>
    <n v="0"/>
    <n v="140"/>
    <n v="210"/>
    <n v="0"/>
    <n v="210"/>
    <x v="3"/>
    <x v="11"/>
  </r>
  <r>
    <x v="435"/>
    <x v="78"/>
    <x v="0"/>
    <x v="29"/>
    <s v="15-12-2023"/>
    <x v="2"/>
    <x v="0"/>
    <x v="3"/>
    <x v="3"/>
    <x v="1"/>
    <s v="No"/>
    <x v="0"/>
    <x v="0"/>
    <n v="0"/>
    <n v="0"/>
    <n v="200"/>
    <n v="0"/>
    <n v="0"/>
    <n v="200"/>
    <n v="0"/>
    <n v="200"/>
    <x v="3"/>
    <x v="11"/>
  </r>
  <r>
    <x v="436"/>
    <x v="23"/>
    <x v="1"/>
    <x v="45"/>
    <s v="15-12-2023"/>
    <x v="7"/>
    <x v="1"/>
    <x v="1"/>
    <x v="1"/>
    <x v="1"/>
    <s v="No"/>
    <x v="1"/>
    <x v="1"/>
    <n v="0"/>
    <n v="150"/>
    <n v="200"/>
    <n v="0"/>
    <n v="140"/>
    <n v="210"/>
    <n v="0"/>
    <n v="210"/>
    <x v="2"/>
    <x v="11"/>
  </r>
  <r>
    <x v="437"/>
    <x v="12"/>
    <x v="1"/>
    <x v="22"/>
    <s v="16-12-2023"/>
    <x v="1"/>
    <x v="0"/>
    <x v="1"/>
    <x v="1"/>
    <x v="1"/>
    <s v="No"/>
    <x v="1"/>
    <x v="0"/>
    <n v="0"/>
    <n v="150"/>
    <n v="200"/>
    <n v="0"/>
    <n v="50"/>
    <n v="300"/>
    <n v="0"/>
    <n v="300"/>
    <x v="1"/>
    <x v="11"/>
  </r>
  <r>
    <x v="438"/>
    <x v="64"/>
    <x v="1"/>
    <x v="22"/>
    <s v="16-12-2023"/>
    <x v="2"/>
    <x v="0"/>
    <x v="6"/>
    <x v="6"/>
    <x v="4"/>
    <s v="No"/>
    <x v="1"/>
    <x v="0"/>
    <n v="26853"/>
    <n v="0"/>
    <n v="0"/>
    <n v="5540"/>
    <n v="0"/>
    <n v="26853"/>
    <n v="0"/>
    <n v="21313"/>
    <x v="3"/>
    <x v="11"/>
  </r>
  <r>
    <x v="439"/>
    <x v="89"/>
    <x v="1"/>
    <x v="7"/>
    <s v="16-12-2023"/>
    <x v="5"/>
    <x v="0"/>
    <x v="0"/>
    <x v="0"/>
    <x v="0"/>
    <s v="No"/>
    <x v="1"/>
    <x v="0"/>
    <n v="459"/>
    <n v="0"/>
    <n v="0"/>
    <n v="0"/>
    <n v="0"/>
    <n v="459"/>
    <n v="0"/>
    <n v="459"/>
    <x v="0"/>
    <x v="11"/>
  </r>
  <r>
    <x v="440"/>
    <x v="66"/>
    <x v="1"/>
    <x v="40"/>
    <s v="18-12-2023"/>
    <x v="5"/>
    <x v="0"/>
    <x v="3"/>
    <x v="3"/>
    <x v="1"/>
    <s v="No"/>
    <x v="0"/>
    <x v="0"/>
    <n v="0"/>
    <n v="0"/>
    <n v="200"/>
    <n v="0"/>
    <n v="0"/>
    <n v="200"/>
    <n v="0"/>
    <n v="200"/>
    <x v="2"/>
    <x v="11"/>
  </r>
  <r>
    <x v="441"/>
    <x v="62"/>
    <x v="1"/>
    <x v="7"/>
    <s v="19-12-2023"/>
    <x v="5"/>
    <x v="0"/>
    <x v="3"/>
    <x v="3"/>
    <x v="1"/>
    <s v="No"/>
    <x v="0"/>
    <x v="0"/>
    <n v="0"/>
    <n v="0"/>
    <n v="200"/>
    <n v="0"/>
    <n v="0"/>
    <n v="200"/>
    <n v="0"/>
    <n v="200"/>
    <x v="0"/>
    <x v="11"/>
  </r>
  <r>
    <x v="442"/>
    <x v="7"/>
    <x v="1"/>
    <x v="68"/>
    <s v="19-12-2023"/>
    <x v="5"/>
    <x v="0"/>
    <x v="1"/>
    <x v="1"/>
    <x v="1"/>
    <s v="No"/>
    <x v="1"/>
    <x v="2"/>
    <n v="0"/>
    <n v="150"/>
    <n v="200"/>
    <n v="0"/>
    <n v="140"/>
    <n v="210"/>
    <n v="0"/>
    <n v="210"/>
    <x v="2"/>
    <x v="11"/>
  </r>
  <r>
    <x v="443"/>
    <x v="32"/>
    <x v="1"/>
    <x v="20"/>
    <s v="20-12-2023"/>
    <x v="5"/>
    <x v="0"/>
    <x v="8"/>
    <x v="8"/>
    <x v="6"/>
    <s v="No"/>
    <x v="1"/>
    <x v="0"/>
    <n v="2770"/>
    <n v="0"/>
    <n v="0"/>
    <n v="0"/>
    <n v="0"/>
    <n v="2770"/>
    <n v="0"/>
    <n v="2770"/>
    <x v="3"/>
    <x v="11"/>
  </r>
  <r>
    <x v="444"/>
    <x v="33"/>
    <x v="0"/>
    <x v="66"/>
    <s v="20-12-2023"/>
    <x v="3"/>
    <x v="0"/>
    <x v="7"/>
    <x v="7"/>
    <x v="5"/>
    <s v="No"/>
    <x v="1"/>
    <x v="0"/>
    <n v="17345"/>
    <n v="0"/>
    <n v="0"/>
    <n v="3920"/>
    <n v="0"/>
    <n v="17345"/>
    <n v="0"/>
    <n v="13425"/>
    <x v="1"/>
    <x v="11"/>
  </r>
  <r>
    <x v="445"/>
    <x v="76"/>
    <x v="1"/>
    <x v="7"/>
    <s v="20-12-2023"/>
    <x v="5"/>
    <x v="1"/>
    <x v="3"/>
    <x v="3"/>
    <x v="1"/>
    <s v="No"/>
    <x v="0"/>
    <x v="0"/>
    <n v="0"/>
    <n v="0"/>
    <n v="200"/>
    <n v="0"/>
    <n v="0"/>
    <n v="200"/>
    <n v="0"/>
    <n v="200"/>
    <x v="2"/>
    <x v="11"/>
  </r>
  <r>
    <x v="446"/>
    <x v="10"/>
    <x v="0"/>
    <x v="44"/>
    <s v="21-12-2023"/>
    <x v="6"/>
    <x v="1"/>
    <x v="3"/>
    <x v="3"/>
    <x v="1"/>
    <s v="No"/>
    <x v="0"/>
    <x v="1"/>
    <n v="0"/>
    <n v="0"/>
    <n v="200"/>
    <n v="0"/>
    <n v="0"/>
    <n v="200"/>
    <n v="0"/>
    <n v="200"/>
    <x v="3"/>
    <x v="11"/>
  </r>
  <r>
    <x v="447"/>
    <x v="31"/>
    <x v="0"/>
    <x v="1"/>
    <s v="21-12-2023"/>
    <x v="1"/>
    <x v="0"/>
    <x v="4"/>
    <x v="4"/>
    <x v="3"/>
    <s v="No"/>
    <x v="0"/>
    <x v="0"/>
    <n v="1260"/>
    <n v="0"/>
    <n v="0"/>
    <n v="0"/>
    <n v="0"/>
    <n v="1260"/>
    <n v="0"/>
    <n v="1260"/>
    <x v="1"/>
    <x v="11"/>
  </r>
  <r>
    <x v="448"/>
    <x v="31"/>
    <x v="0"/>
    <x v="75"/>
    <s v="23-12-2023"/>
    <x v="2"/>
    <x v="0"/>
    <x v="1"/>
    <x v="1"/>
    <x v="1"/>
    <s v="No"/>
    <x v="1"/>
    <x v="0"/>
    <n v="0"/>
    <n v="150"/>
    <n v="200"/>
    <n v="0"/>
    <n v="0"/>
    <n v="350"/>
    <n v="0"/>
    <n v="350"/>
    <x v="1"/>
    <x v="11"/>
  </r>
  <r>
    <x v="449"/>
    <x v="24"/>
    <x v="0"/>
    <x v="35"/>
    <s v="23-12-2023"/>
    <x v="2"/>
    <x v="0"/>
    <x v="1"/>
    <x v="1"/>
    <x v="1"/>
    <s v="No"/>
    <x v="1"/>
    <x v="0"/>
    <n v="0"/>
    <n v="150"/>
    <n v="200"/>
    <n v="0"/>
    <n v="0"/>
    <n v="350"/>
    <n v="0"/>
    <n v="350"/>
    <x v="1"/>
    <x v="11"/>
  </r>
  <r>
    <x v="450"/>
    <x v="9"/>
    <x v="0"/>
    <x v="44"/>
    <s v="26-12-2023"/>
    <x v="1"/>
    <x v="0"/>
    <x v="1"/>
    <x v="1"/>
    <x v="1"/>
    <s v="No"/>
    <x v="1"/>
    <x v="1"/>
    <n v="0"/>
    <n v="150"/>
    <n v="200"/>
    <n v="0"/>
    <n v="140"/>
    <n v="210"/>
    <n v="0"/>
    <n v="210"/>
    <x v="0"/>
    <x v="11"/>
  </r>
  <r>
    <x v="451"/>
    <x v="57"/>
    <x v="1"/>
    <x v="5"/>
    <s v="26-12-2023"/>
    <x v="0"/>
    <x v="1"/>
    <x v="1"/>
    <x v="1"/>
    <x v="1"/>
    <s v="No"/>
    <x v="1"/>
    <x v="0"/>
    <n v="0"/>
    <n v="150"/>
    <n v="200"/>
    <n v="0"/>
    <n v="0"/>
    <n v="350"/>
    <n v="0"/>
    <n v="350"/>
    <x v="1"/>
    <x v="11"/>
  </r>
  <r>
    <x v="452"/>
    <x v="56"/>
    <x v="0"/>
    <x v="74"/>
    <s v="26-12-2023"/>
    <x v="5"/>
    <x v="1"/>
    <x v="1"/>
    <x v="1"/>
    <x v="1"/>
    <s v="No"/>
    <x v="1"/>
    <x v="1"/>
    <n v="0"/>
    <n v="150"/>
    <n v="200"/>
    <n v="0"/>
    <n v="140"/>
    <n v="210"/>
    <n v="0"/>
    <n v="210"/>
    <x v="2"/>
    <x v="11"/>
  </r>
  <r>
    <x v="453"/>
    <x v="21"/>
    <x v="0"/>
    <x v="15"/>
    <s v="27-12-2023"/>
    <x v="2"/>
    <x v="0"/>
    <x v="6"/>
    <x v="6"/>
    <x v="4"/>
    <s v="No"/>
    <x v="0"/>
    <x v="2"/>
    <n v="25553"/>
    <n v="0"/>
    <n v="0"/>
    <n v="8210"/>
    <n v="0"/>
    <n v="25553"/>
    <n v="0"/>
    <n v="17343"/>
    <x v="1"/>
    <x v="11"/>
  </r>
  <r>
    <x v="454"/>
    <x v="75"/>
    <x v="1"/>
    <x v="75"/>
    <s v="27-12-2023"/>
    <x v="2"/>
    <x v="0"/>
    <x v="3"/>
    <x v="3"/>
    <x v="1"/>
    <s v="No"/>
    <x v="0"/>
    <x v="0"/>
    <n v="0"/>
    <n v="0"/>
    <n v="200"/>
    <n v="0"/>
    <n v="80"/>
    <n v="120"/>
    <n v="0"/>
    <n v="120"/>
    <x v="1"/>
    <x v="11"/>
  </r>
  <r>
    <x v="455"/>
    <x v="57"/>
    <x v="1"/>
    <x v="37"/>
    <s v="27-12-2023"/>
    <x v="12"/>
    <x v="0"/>
    <x v="1"/>
    <x v="1"/>
    <x v="1"/>
    <s v="No"/>
    <x v="1"/>
    <x v="0"/>
    <n v="0"/>
    <n v="150"/>
    <n v="200"/>
    <n v="0"/>
    <n v="0"/>
    <n v="350"/>
    <n v="0"/>
    <n v="350"/>
    <x v="1"/>
    <x v="11"/>
  </r>
  <r>
    <x v="456"/>
    <x v="52"/>
    <x v="1"/>
    <x v="47"/>
    <s v="28-12-2023"/>
    <x v="1"/>
    <x v="0"/>
    <x v="1"/>
    <x v="1"/>
    <x v="1"/>
    <s v="No"/>
    <x v="1"/>
    <x v="0"/>
    <n v="0"/>
    <n v="150"/>
    <n v="200"/>
    <n v="0"/>
    <n v="0"/>
    <n v="350"/>
    <n v="0"/>
    <n v="350"/>
    <x v="3"/>
    <x v="11"/>
  </r>
  <r>
    <x v="457"/>
    <x v="77"/>
    <x v="0"/>
    <x v="24"/>
    <s v="29-12-2023"/>
    <x v="8"/>
    <x v="0"/>
    <x v="3"/>
    <x v="3"/>
    <x v="1"/>
    <s v="No"/>
    <x v="0"/>
    <x v="0"/>
    <n v="0"/>
    <n v="0"/>
    <n v="200"/>
    <n v="0"/>
    <n v="0"/>
    <n v="200"/>
    <n v="0"/>
    <n v="200"/>
    <x v="2"/>
    <x v="11"/>
  </r>
  <r>
    <x v="458"/>
    <x v="50"/>
    <x v="1"/>
    <x v="45"/>
    <s v="29-12-2023"/>
    <x v="8"/>
    <x v="0"/>
    <x v="1"/>
    <x v="1"/>
    <x v="1"/>
    <s v="No"/>
    <x v="1"/>
    <x v="0"/>
    <n v="0"/>
    <n v="150"/>
    <n v="200"/>
    <n v="0"/>
    <n v="0"/>
    <n v="350"/>
    <n v="0"/>
    <n v="350"/>
    <x v="0"/>
    <x v="11"/>
  </r>
  <r>
    <x v="459"/>
    <x v="44"/>
    <x v="1"/>
    <x v="39"/>
    <s v="30-12-2023"/>
    <x v="1"/>
    <x v="0"/>
    <x v="3"/>
    <x v="3"/>
    <x v="1"/>
    <s v="No"/>
    <x v="0"/>
    <x v="0"/>
    <n v="0"/>
    <n v="0"/>
    <n v="200"/>
    <n v="0"/>
    <n v="0"/>
    <n v="200"/>
    <n v="0"/>
    <n v="200"/>
    <x v="2"/>
    <x v="11"/>
  </r>
  <r>
    <x v="460"/>
    <x v="85"/>
    <x v="0"/>
    <x v="64"/>
    <d v="2024-01-01T00:00:00"/>
    <x v="5"/>
    <x v="1"/>
    <x v="2"/>
    <x v="2"/>
    <x v="2"/>
    <s v="No"/>
    <x v="1"/>
    <x v="0"/>
    <n v="973"/>
    <n v="0"/>
    <n v="0"/>
    <n v="0"/>
    <n v="389.2"/>
    <n v="583.79999999999995"/>
    <n v="0"/>
    <n v="583.79999999999995"/>
    <x v="3"/>
    <x v="12"/>
  </r>
  <r>
    <x v="461"/>
    <x v="31"/>
    <x v="0"/>
    <x v="53"/>
    <d v="2024-02-01T00:00:00"/>
    <x v="2"/>
    <x v="0"/>
    <x v="0"/>
    <x v="0"/>
    <x v="0"/>
    <s v="No"/>
    <x v="1"/>
    <x v="0"/>
    <n v="549"/>
    <n v="0"/>
    <n v="0"/>
    <n v="0"/>
    <n v="0"/>
    <n v="549"/>
    <n v="0"/>
    <n v="549"/>
    <x v="2"/>
    <x v="12"/>
  </r>
  <r>
    <x v="462"/>
    <x v="72"/>
    <x v="0"/>
    <x v="40"/>
    <d v="2024-02-01T00:00:00"/>
    <x v="2"/>
    <x v="0"/>
    <x v="3"/>
    <x v="3"/>
    <x v="1"/>
    <s v="No"/>
    <x v="0"/>
    <x v="0"/>
    <n v="0"/>
    <n v="0"/>
    <n v="200"/>
    <n v="0"/>
    <n v="0"/>
    <n v="200"/>
    <n v="0"/>
    <n v="200"/>
    <x v="3"/>
    <x v="12"/>
  </r>
  <r>
    <x v="463"/>
    <x v="74"/>
    <x v="1"/>
    <x v="43"/>
    <d v="2024-02-01T00:00:00"/>
    <x v="5"/>
    <x v="0"/>
    <x v="1"/>
    <x v="1"/>
    <x v="1"/>
    <s v="No"/>
    <x v="1"/>
    <x v="1"/>
    <n v="0"/>
    <n v="150"/>
    <n v="200"/>
    <n v="0"/>
    <n v="0"/>
    <n v="350"/>
    <n v="0"/>
    <n v="350"/>
    <x v="0"/>
    <x v="12"/>
  </r>
  <r>
    <x v="464"/>
    <x v="34"/>
    <x v="1"/>
    <x v="57"/>
    <d v="2024-03-01T00:00:00"/>
    <x v="5"/>
    <x v="1"/>
    <x v="1"/>
    <x v="1"/>
    <x v="1"/>
    <s v="No"/>
    <x v="1"/>
    <x v="0"/>
    <n v="0"/>
    <n v="150"/>
    <n v="200"/>
    <n v="0"/>
    <n v="0"/>
    <n v="350"/>
    <n v="0"/>
    <n v="350"/>
    <x v="3"/>
    <x v="12"/>
  </r>
  <r>
    <x v="465"/>
    <x v="57"/>
    <x v="1"/>
    <x v="51"/>
    <d v="2024-03-01T00:00:00"/>
    <x v="2"/>
    <x v="1"/>
    <x v="1"/>
    <x v="1"/>
    <x v="1"/>
    <s v="No"/>
    <x v="1"/>
    <x v="0"/>
    <n v="0"/>
    <n v="150"/>
    <n v="200"/>
    <n v="0"/>
    <n v="50"/>
    <n v="300"/>
    <n v="0"/>
    <n v="300"/>
    <x v="3"/>
    <x v="12"/>
  </r>
  <r>
    <x v="466"/>
    <x v="7"/>
    <x v="1"/>
    <x v="1"/>
    <d v="2024-03-01T00:00:00"/>
    <x v="1"/>
    <x v="0"/>
    <x v="3"/>
    <x v="3"/>
    <x v="1"/>
    <s v="No"/>
    <x v="0"/>
    <x v="0"/>
    <n v="0"/>
    <n v="0"/>
    <n v="200"/>
    <n v="0"/>
    <n v="0"/>
    <n v="200"/>
    <n v="0"/>
    <n v="200"/>
    <x v="1"/>
    <x v="12"/>
  </r>
  <r>
    <x v="467"/>
    <x v="11"/>
    <x v="0"/>
    <x v="21"/>
    <d v="2024-04-01T00:00:00"/>
    <x v="1"/>
    <x v="1"/>
    <x v="1"/>
    <x v="1"/>
    <x v="1"/>
    <s v="No"/>
    <x v="1"/>
    <x v="0"/>
    <n v="0"/>
    <n v="150"/>
    <n v="200"/>
    <n v="0"/>
    <n v="0"/>
    <n v="350"/>
    <n v="0"/>
    <n v="350"/>
    <x v="3"/>
    <x v="12"/>
  </r>
  <r>
    <x v="468"/>
    <x v="26"/>
    <x v="0"/>
    <x v="69"/>
    <d v="2024-04-01T00:00:00"/>
    <x v="5"/>
    <x v="0"/>
    <x v="6"/>
    <x v="6"/>
    <x v="4"/>
    <s v="No"/>
    <x v="1"/>
    <x v="0"/>
    <n v="26476"/>
    <n v="0"/>
    <n v="0"/>
    <n v="6080"/>
    <n v="0"/>
    <n v="26476"/>
    <n v="0"/>
    <n v="20396"/>
    <x v="0"/>
    <x v="12"/>
  </r>
  <r>
    <x v="469"/>
    <x v="89"/>
    <x v="1"/>
    <x v="44"/>
    <d v="2024-04-01T00:00:00"/>
    <x v="0"/>
    <x v="1"/>
    <x v="3"/>
    <x v="3"/>
    <x v="1"/>
    <s v="No"/>
    <x v="0"/>
    <x v="1"/>
    <n v="0"/>
    <n v="0"/>
    <n v="200"/>
    <n v="0"/>
    <n v="0"/>
    <n v="200"/>
    <n v="0"/>
    <n v="200"/>
    <x v="3"/>
    <x v="12"/>
  </r>
  <r>
    <x v="470"/>
    <x v="33"/>
    <x v="0"/>
    <x v="26"/>
    <d v="2024-04-01T00:00:00"/>
    <x v="1"/>
    <x v="1"/>
    <x v="1"/>
    <x v="1"/>
    <x v="1"/>
    <s v="No"/>
    <x v="1"/>
    <x v="0"/>
    <n v="0"/>
    <n v="150"/>
    <n v="200"/>
    <n v="0"/>
    <n v="140"/>
    <n v="210"/>
    <n v="0"/>
    <n v="210"/>
    <x v="3"/>
    <x v="12"/>
  </r>
  <r>
    <x v="471"/>
    <x v="59"/>
    <x v="1"/>
    <x v="16"/>
    <d v="2024-05-01T00:00:00"/>
    <x v="2"/>
    <x v="0"/>
    <x v="0"/>
    <x v="0"/>
    <x v="0"/>
    <s v="No"/>
    <x v="1"/>
    <x v="0"/>
    <n v="594"/>
    <n v="0"/>
    <n v="0"/>
    <n v="0"/>
    <n v="0"/>
    <n v="594"/>
    <n v="0"/>
    <n v="594"/>
    <x v="2"/>
    <x v="12"/>
  </r>
  <r>
    <x v="472"/>
    <x v="20"/>
    <x v="0"/>
    <x v="11"/>
    <d v="2024-08-01T00:00:00"/>
    <x v="6"/>
    <x v="0"/>
    <x v="1"/>
    <x v="1"/>
    <x v="1"/>
    <s v="No"/>
    <x v="1"/>
    <x v="0"/>
    <n v="0"/>
    <n v="150"/>
    <n v="200"/>
    <n v="0"/>
    <n v="0"/>
    <n v="350"/>
    <n v="0"/>
    <n v="350"/>
    <x v="3"/>
    <x v="12"/>
  </r>
  <r>
    <x v="473"/>
    <x v="41"/>
    <x v="0"/>
    <x v="27"/>
    <d v="2024-08-01T00:00:00"/>
    <x v="3"/>
    <x v="1"/>
    <x v="9"/>
    <x v="9"/>
    <x v="7"/>
    <s v="No"/>
    <x v="1"/>
    <x v="0"/>
    <n v="3663"/>
    <n v="0"/>
    <n v="0"/>
    <n v="1060"/>
    <n v="0"/>
    <n v="3663"/>
    <n v="0"/>
    <n v="2603"/>
    <x v="2"/>
    <x v="12"/>
  </r>
  <r>
    <x v="474"/>
    <x v="82"/>
    <x v="1"/>
    <x v="62"/>
    <d v="2024-08-01T00:00:00"/>
    <x v="1"/>
    <x v="1"/>
    <x v="5"/>
    <x v="5"/>
    <x v="4"/>
    <s v="No"/>
    <x v="1"/>
    <x v="0"/>
    <n v="976"/>
    <n v="0"/>
    <n v="0"/>
    <n v="0"/>
    <n v="390.4"/>
    <n v="585.6"/>
    <n v="0"/>
    <n v="585.6"/>
    <x v="0"/>
    <x v="12"/>
  </r>
  <r>
    <x v="475"/>
    <x v="89"/>
    <x v="1"/>
    <x v="61"/>
    <d v="2024-09-01T00:00:00"/>
    <x v="2"/>
    <x v="1"/>
    <x v="3"/>
    <x v="3"/>
    <x v="1"/>
    <s v="No"/>
    <x v="0"/>
    <x v="0"/>
    <n v="0"/>
    <n v="0"/>
    <n v="200"/>
    <n v="0"/>
    <n v="50"/>
    <n v="150"/>
    <n v="0"/>
    <n v="150"/>
    <x v="1"/>
    <x v="12"/>
  </r>
  <r>
    <x v="476"/>
    <x v="37"/>
    <x v="0"/>
    <x v="14"/>
    <d v="2024-09-01T00:00:00"/>
    <x v="11"/>
    <x v="0"/>
    <x v="6"/>
    <x v="6"/>
    <x v="4"/>
    <s v="No"/>
    <x v="1"/>
    <x v="1"/>
    <n v="21433"/>
    <n v="0"/>
    <n v="0"/>
    <n v="4960"/>
    <n v="0"/>
    <n v="21433"/>
    <n v="0"/>
    <n v="16473"/>
    <x v="0"/>
    <x v="12"/>
  </r>
  <r>
    <x v="477"/>
    <x v="56"/>
    <x v="0"/>
    <x v="74"/>
    <d v="2024-10-01T00:00:00"/>
    <x v="2"/>
    <x v="0"/>
    <x v="1"/>
    <x v="1"/>
    <x v="1"/>
    <s v="No"/>
    <x v="1"/>
    <x v="0"/>
    <n v="0"/>
    <n v="150"/>
    <n v="200"/>
    <n v="0"/>
    <n v="0"/>
    <n v="350"/>
    <n v="0"/>
    <n v="350"/>
    <x v="1"/>
    <x v="12"/>
  </r>
  <r>
    <x v="478"/>
    <x v="24"/>
    <x v="0"/>
    <x v="5"/>
    <d v="2024-10-01T00:00:00"/>
    <x v="0"/>
    <x v="0"/>
    <x v="3"/>
    <x v="3"/>
    <x v="1"/>
    <s v="No"/>
    <x v="0"/>
    <x v="0"/>
    <n v="0"/>
    <n v="0"/>
    <n v="200"/>
    <n v="0"/>
    <n v="80"/>
    <n v="120"/>
    <n v="0"/>
    <n v="120"/>
    <x v="1"/>
    <x v="12"/>
  </r>
  <r>
    <x v="479"/>
    <x v="60"/>
    <x v="0"/>
    <x v="18"/>
    <d v="2024-11-01T00:00:00"/>
    <x v="2"/>
    <x v="0"/>
    <x v="6"/>
    <x v="6"/>
    <x v="4"/>
    <s v="No"/>
    <x v="0"/>
    <x v="0"/>
    <n v="27255"/>
    <n v="0"/>
    <n v="0"/>
    <n v="7870"/>
    <n v="0"/>
    <n v="27255"/>
    <n v="0"/>
    <n v="19385"/>
    <x v="1"/>
    <x v="12"/>
  </r>
  <r>
    <x v="480"/>
    <x v="56"/>
    <x v="0"/>
    <x v="56"/>
    <d v="2024-11-01T00:00:00"/>
    <x v="5"/>
    <x v="1"/>
    <x v="3"/>
    <x v="3"/>
    <x v="1"/>
    <s v="No"/>
    <x v="0"/>
    <x v="2"/>
    <n v="0"/>
    <n v="0"/>
    <n v="200"/>
    <n v="0"/>
    <n v="50"/>
    <n v="150"/>
    <n v="0"/>
    <n v="150"/>
    <x v="1"/>
    <x v="12"/>
  </r>
  <r>
    <x v="481"/>
    <x v="85"/>
    <x v="0"/>
    <x v="12"/>
    <d v="2024-12-01T00:00:00"/>
    <x v="8"/>
    <x v="0"/>
    <x v="3"/>
    <x v="3"/>
    <x v="1"/>
    <s v="No"/>
    <x v="0"/>
    <x v="0"/>
    <n v="0"/>
    <n v="0"/>
    <n v="200"/>
    <n v="0"/>
    <n v="0"/>
    <n v="200"/>
    <n v="0"/>
    <n v="200"/>
    <x v="2"/>
    <x v="12"/>
  </r>
  <r>
    <x v="482"/>
    <x v="18"/>
    <x v="1"/>
    <x v="50"/>
    <d v="2024-12-01T00:00:00"/>
    <x v="8"/>
    <x v="1"/>
    <x v="1"/>
    <x v="1"/>
    <x v="1"/>
    <s v="No"/>
    <x v="1"/>
    <x v="0"/>
    <n v="0"/>
    <n v="150"/>
    <n v="200"/>
    <n v="0"/>
    <n v="140"/>
    <n v="210"/>
    <n v="0"/>
    <n v="210"/>
    <x v="1"/>
    <x v="12"/>
  </r>
  <r>
    <x v="483"/>
    <x v="7"/>
    <x v="1"/>
    <x v="56"/>
    <s v="13-01-2024"/>
    <x v="1"/>
    <x v="0"/>
    <x v="3"/>
    <x v="3"/>
    <x v="1"/>
    <s v="No"/>
    <x v="0"/>
    <x v="1"/>
    <n v="0"/>
    <n v="0"/>
    <n v="200"/>
    <n v="0"/>
    <n v="0"/>
    <n v="200"/>
    <n v="0"/>
    <n v="200"/>
    <x v="1"/>
    <x v="12"/>
  </r>
  <r>
    <x v="484"/>
    <x v="62"/>
    <x v="1"/>
    <x v="59"/>
    <s v="13-01-2024"/>
    <x v="5"/>
    <x v="0"/>
    <x v="3"/>
    <x v="3"/>
    <x v="1"/>
    <s v="No"/>
    <x v="0"/>
    <x v="0"/>
    <n v="0"/>
    <n v="0"/>
    <n v="200"/>
    <n v="0"/>
    <n v="80"/>
    <n v="120"/>
    <n v="0"/>
    <n v="120"/>
    <x v="3"/>
    <x v="12"/>
  </r>
  <r>
    <x v="485"/>
    <x v="72"/>
    <x v="0"/>
    <x v="23"/>
    <s v="15-01-2024"/>
    <x v="5"/>
    <x v="1"/>
    <x v="1"/>
    <x v="1"/>
    <x v="1"/>
    <s v="No"/>
    <x v="1"/>
    <x v="0"/>
    <n v="0"/>
    <n v="150"/>
    <n v="200"/>
    <n v="0"/>
    <n v="0"/>
    <n v="350"/>
    <n v="0"/>
    <n v="350"/>
    <x v="3"/>
    <x v="12"/>
  </r>
  <r>
    <x v="486"/>
    <x v="80"/>
    <x v="1"/>
    <x v="53"/>
    <s v="15-01-2024"/>
    <x v="1"/>
    <x v="0"/>
    <x v="1"/>
    <x v="1"/>
    <x v="1"/>
    <s v="No"/>
    <x v="1"/>
    <x v="0"/>
    <n v="0"/>
    <n v="150"/>
    <n v="200"/>
    <n v="0"/>
    <n v="0"/>
    <n v="350"/>
    <n v="0"/>
    <n v="350"/>
    <x v="2"/>
    <x v="12"/>
  </r>
  <r>
    <x v="487"/>
    <x v="45"/>
    <x v="0"/>
    <x v="51"/>
    <s v="15-01-2024"/>
    <x v="1"/>
    <x v="0"/>
    <x v="7"/>
    <x v="7"/>
    <x v="5"/>
    <s v="No"/>
    <x v="1"/>
    <x v="0"/>
    <n v="13567"/>
    <n v="0"/>
    <n v="0"/>
    <n v="4010"/>
    <n v="1500"/>
    <n v="12067"/>
    <n v="0"/>
    <n v="8057"/>
    <x v="1"/>
    <x v="12"/>
  </r>
  <r>
    <x v="488"/>
    <x v="89"/>
    <x v="1"/>
    <x v="62"/>
    <s v="16-01-2024"/>
    <x v="2"/>
    <x v="0"/>
    <x v="1"/>
    <x v="1"/>
    <x v="1"/>
    <s v="No"/>
    <x v="1"/>
    <x v="1"/>
    <n v="0"/>
    <n v="150"/>
    <n v="200"/>
    <n v="0"/>
    <n v="140"/>
    <n v="210"/>
    <n v="0"/>
    <n v="210"/>
    <x v="1"/>
    <x v="12"/>
  </r>
  <r>
    <x v="489"/>
    <x v="22"/>
    <x v="1"/>
    <x v="58"/>
    <s v="17-01-2024"/>
    <x v="2"/>
    <x v="1"/>
    <x v="3"/>
    <x v="3"/>
    <x v="1"/>
    <s v="No"/>
    <x v="0"/>
    <x v="0"/>
    <n v="0"/>
    <n v="0"/>
    <n v="200"/>
    <n v="0"/>
    <n v="80"/>
    <n v="120"/>
    <n v="0"/>
    <n v="120"/>
    <x v="3"/>
    <x v="12"/>
  </r>
  <r>
    <x v="490"/>
    <x v="58"/>
    <x v="0"/>
    <x v="18"/>
    <s v="17-01-2024"/>
    <x v="1"/>
    <x v="0"/>
    <x v="3"/>
    <x v="3"/>
    <x v="1"/>
    <s v="No"/>
    <x v="0"/>
    <x v="0"/>
    <n v="0"/>
    <n v="0"/>
    <n v="200"/>
    <n v="0"/>
    <n v="80"/>
    <n v="120"/>
    <n v="0"/>
    <n v="120"/>
    <x v="3"/>
    <x v="12"/>
  </r>
  <r>
    <x v="491"/>
    <x v="36"/>
    <x v="0"/>
    <x v="5"/>
    <s v="18-01-2024"/>
    <x v="2"/>
    <x v="0"/>
    <x v="1"/>
    <x v="1"/>
    <x v="1"/>
    <s v="No"/>
    <x v="1"/>
    <x v="0"/>
    <n v="0"/>
    <n v="150"/>
    <n v="200"/>
    <n v="0"/>
    <n v="0"/>
    <n v="350"/>
    <n v="0"/>
    <n v="350"/>
    <x v="3"/>
    <x v="12"/>
  </r>
  <r>
    <x v="492"/>
    <x v="59"/>
    <x v="1"/>
    <x v="21"/>
    <s v="18-01-2024"/>
    <x v="1"/>
    <x v="0"/>
    <x v="3"/>
    <x v="3"/>
    <x v="1"/>
    <s v="No"/>
    <x v="0"/>
    <x v="0"/>
    <n v="0"/>
    <n v="0"/>
    <n v="200"/>
    <n v="0"/>
    <n v="0"/>
    <n v="200"/>
    <n v="0"/>
    <n v="200"/>
    <x v="1"/>
    <x v="12"/>
  </r>
  <r>
    <x v="493"/>
    <x v="52"/>
    <x v="1"/>
    <x v="38"/>
    <s v="19-01-2024"/>
    <x v="2"/>
    <x v="0"/>
    <x v="8"/>
    <x v="8"/>
    <x v="6"/>
    <s v="No"/>
    <x v="1"/>
    <x v="0"/>
    <n v="3169"/>
    <n v="0"/>
    <n v="0"/>
    <n v="0"/>
    <n v="0"/>
    <n v="2945"/>
    <n v="224"/>
    <n v="2945"/>
    <x v="1"/>
    <x v="12"/>
  </r>
  <r>
    <x v="494"/>
    <x v="61"/>
    <x v="1"/>
    <x v="21"/>
    <s v="20-01-2024"/>
    <x v="2"/>
    <x v="0"/>
    <x v="1"/>
    <x v="1"/>
    <x v="1"/>
    <s v="No"/>
    <x v="1"/>
    <x v="0"/>
    <n v="0"/>
    <n v="150"/>
    <n v="200"/>
    <n v="0"/>
    <n v="0"/>
    <n v="350"/>
    <n v="0"/>
    <n v="350"/>
    <x v="2"/>
    <x v="12"/>
  </r>
  <r>
    <x v="495"/>
    <x v="41"/>
    <x v="0"/>
    <x v="1"/>
    <s v="22-01-2024"/>
    <x v="1"/>
    <x v="1"/>
    <x v="1"/>
    <x v="1"/>
    <x v="1"/>
    <s v="No"/>
    <x v="1"/>
    <x v="0"/>
    <n v="0"/>
    <n v="150"/>
    <n v="200"/>
    <n v="0"/>
    <n v="140"/>
    <n v="210"/>
    <n v="0"/>
    <n v="210"/>
    <x v="1"/>
    <x v="12"/>
  </r>
  <r>
    <x v="496"/>
    <x v="23"/>
    <x v="1"/>
    <x v="74"/>
    <s v="22-01-2024"/>
    <x v="2"/>
    <x v="0"/>
    <x v="4"/>
    <x v="4"/>
    <x v="3"/>
    <s v="No"/>
    <x v="1"/>
    <x v="1"/>
    <n v="1480"/>
    <n v="0"/>
    <n v="0"/>
    <n v="0"/>
    <n v="0"/>
    <n v="1480"/>
    <n v="0"/>
    <n v="1480"/>
    <x v="0"/>
    <x v="12"/>
  </r>
  <r>
    <x v="497"/>
    <x v="17"/>
    <x v="1"/>
    <x v="66"/>
    <s v="22-01-2024"/>
    <x v="5"/>
    <x v="0"/>
    <x v="3"/>
    <x v="3"/>
    <x v="1"/>
    <s v="No"/>
    <x v="0"/>
    <x v="0"/>
    <n v="0"/>
    <n v="0"/>
    <n v="200"/>
    <n v="0"/>
    <n v="0"/>
    <n v="200"/>
    <n v="0"/>
    <n v="200"/>
    <x v="1"/>
    <x v="12"/>
  </r>
  <r>
    <x v="498"/>
    <x v="33"/>
    <x v="0"/>
    <x v="28"/>
    <s v="25-01-2024"/>
    <x v="5"/>
    <x v="1"/>
    <x v="3"/>
    <x v="3"/>
    <x v="1"/>
    <s v="No"/>
    <x v="0"/>
    <x v="0"/>
    <n v="0"/>
    <n v="0"/>
    <n v="200"/>
    <n v="0"/>
    <n v="0"/>
    <n v="200"/>
    <n v="0"/>
    <n v="200"/>
    <x v="3"/>
    <x v="12"/>
  </r>
  <r>
    <x v="499"/>
    <x v="38"/>
    <x v="0"/>
    <x v="21"/>
    <s v="25-01-2024"/>
    <x v="3"/>
    <x v="1"/>
    <x v="5"/>
    <x v="5"/>
    <x v="4"/>
    <s v="No"/>
    <x v="1"/>
    <x v="0"/>
    <n v="576"/>
    <n v="0"/>
    <n v="0"/>
    <n v="0"/>
    <n v="0"/>
    <n v="576"/>
    <n v="0"/>
    <n v="576"/>
    <x v="1"/>
    <x v="12"/>
  </r>
  <r>
    <x v="500"/>
    <x v="39"/>
    <x v="0"/>
    <x v="18"/>
    <s v="26-01-2024"/>
    <x v="0"/>
    <x v="0"/>
    <x v="3"/>
    <x v="3"/>
    <x v="1"/>
    <s v="No"/>
    <x v="0"/>
    <x v="0"/>
    <n v="0"/>
    <n v="0"/>
    <n v="200"/>
    <n v="0"/>
    <n v="0"/>
    <n v="200"/>
    <n v="0"/>
    <n v="200"/>
    <x v="1"/>
    <x v="12"/>
  </r>
  <r>
    <x v="501"/>
    <x v="35"/>
    <x v="0"/>
    <x v="58"/>
    <s v="26-01-2024"/>
    <x v="4"/>
    <x v="0"/>
    <x v="6"/>
    <x v="6"/>
    <x v="4"/>
    <s v="No"/>
    <x v="0"/>
    <x v="0"/>
    <n v="20558"/>
    <n v="0"/>
    <n v="0"/>
    <n v="7110"/>
    <n v="0"/>
    <n v="20558"/>
    <n v="0"/>
    <n v="13448"/>
    <x v="0"/>
    <x v="12"/>
  </r>
  <r>
    <x v="502"/>
    <x v="49"/>
    <x v="1"/>
    <x v="48"/>
    <s v="27-01-2024"/>
    <x v="1"/>
    <x v="1"/>
    <x v="3"/>
    <x v="3"/>
    <x v="1"/>
    <s v="No"/>
    <x v="0"/>
    <x v="0"/>
    <n v="0"/>
    <n v="0"/>
    <n v="200"/>
    <n v="0"/>
    <n v="0"/>
    <n v="200"/>
    <n v="0"/>
    <n v="200"/>
    <x v="2"/>
    <x v="12"/>
  </r>
  <r>
    <x v="503"/>
    <x v="84"/>
    <x v="1"/>
    <x v="10"/>
    <s v="29-01-2024"/>
    <x v="2"/>
    <x v="1"/>
    <x v="3"/>
    <x v="3"/>
    <x v="1"/>
    <s v="No"/>
    <x v="0"/>
    <x v="0"/>
    <n v="0"/>
    <n v="0"/>
    <n v="200"/>
    <n v="0"/>
    <n v="0"/>
    <n v="200"/>
    <n v="0"/>
    <n v="200"/>
    <x v="3"/>
    <x v="12"/>
  </r>
  <r>
    <x v="504"/>
    <x v="46"/>
    <x v="0"/>
    <x v="62"/>
    <s v="29-01-2024"/>
    <x v="2"/>
    <x v="0"/>
    <x v="3"/>
    <x v="3"/>
    <x v="1"/>
    <s v="No"/>
    <x v="0"/>
    <x v="0"/>
    <n v="0"/>
    <n v="0"/>
    <n v="200"/>
    <n v="0"/>
    <n v="0"/>
    <n v="200"/>
    <n v="0"/>
    <n v="200"/>
    <x v="2"/>
    <x v="12"/>
  </r>
  <r>
    <x v="505"/>
    <x v="73"/>
    <x v="1"/>
    <x v="62"/>
    <s v="30-01-2024"/>
    <x v="2"/>
    <x v="1"/>
    <x v="3"/>
    <x v="3"/>
    <x v="1"/>
    <s v="No"/>
    <x v="0"/>
    <x v="2"/>
    <n v="0"/>
    <n v="0"/>
    <n v="200"/>
    <n v="0"/>
    <n v="0"/>
    <n v="200"/>
    <n v="0"/>
    <n v="200"/>
    <x v="1"/>
    <x v="12"/>
  </r>
  <r>
    <x v="506"/>
    <x v="52"/>
    <x v="1"/>
    <x v="33"/>
    <s v="30-01-2024"/>
    <x v="2"/>
    <x v="1"/>
    <x v="5"/>
    <x v="5"/>
    <x v="4"/>
    <s v="No"/>
    <x v="0"/>
    <x v="0"/>
    <n v="819"/>
    <n v="0"/>
    <n v="0"/>
    <n v="0"/>
    <n v="0"/>
    <n v="819"/>
    <n v="0"/>
    <n v="819"/>
    <x v="1"/>
    <x v="12"/>
  </r>
  <r>
    <x v="507"/>
    <x v="53"/>
    <x v="1"/>
    <x v="16"/>
    <s v="30-01-2024"/>
    <x v="2"/>
    <x v="0"/>
    <x v="3"/>
    <x v="3"/>
    <x v="1"/>
    <s v="No"/>
    <x v="0"/>
    <x v="0"/>
    <n v="0"/>
    <n v="0"/>
    <n v="200"/>
    <n v="0"/>
    <n v="80"/>
    <n v="120"/>
    <n v="0"/>
    <n v="120"/>
    <x v="3"/>
    <x v="12"/>
  </r>
  <r>
    <x v="508"/>
    <x v="38"/>
    <x v="0"/>
    <x v="43"/>
    <s v="31-01-2024"/>
    <x v="4"/>
    <x v="0"/>
    <x v="3"/>
    <x v="3"/>
    <x v="1"/>
    <s v="No"/>
    <x v="0"/>
    <x v="2"/>
    <n v="0"/>
    <n v="0"/>
    <n v="200"/>
    <n v="0"/>
    <n v="80"/>
    <n v="120"/>
    <n v="0"/>
    <n v="120"/>
    <x v="2"/>
    <x v="12"/>
  </r>
  <r>
    <x v="509"/>
    <x v="76"/>
    <x v="1"/>
    <x v="69"/>
    <s v="31-01-2024"/>
    <x v="2"/>
    <x v="0"/>
    <x v="4"/>
    <x v="4"/>
    <x v="3"/>
    <s v="No"/>
    <x v="1"/>
    <x v="2"/>
    <n v="1586"/>
    <n v="0"/>
    <n v="0"/>
    <n v="0"/>
    <n v="0"/>
    <n v="1586"/>
    <n v="0"/>
    <n v="1586"/>
    <x v="0"/>
    <x v="12"/>
  </r>
  <r>
    <x v="510"/>
    <x v="65"/>
    <x v="1"/>
    <x v="17"/>
    <d v="2024-01-02T00:00:00"/>
    <x v="5"/>
    <x v="0"/>
    <x v="3"/>
    <x v="3"/>
    <x v="1"/>
    <s v="No"/>
    <x v="0"/>
    <x v="1"/>
    <n v="0"/>
    <n v="0"/>
    <n v="200"/>
    <n v="0"/>
    <n v="0"/>
    <n v="200"/>
    <n v="0"/>
    <n v="200"/>
    <x v="1"/>
    <x v="13"/>
  </r>
  <r>
    <x v="511"/>
    <x v="32"/>
    <x v="1"/>
    <x v="8"/>
    <d v="2024-01-02T00:00:00"/>
    <x v="5"/>
    <x v="0"/>
    <x v="4"/>
    <x v="4"/>
    <x v="3"/>
    <s v="No"/>
    <x v="1"/>
    <x v="0"/>
    <n v="1292"/>
    <n v="0"/>
    <n v="0"/>
    <n v="0"/>
    <n v="0"/>
    <n v="1292"/>
    <n v="0"/>
    <n v="1292"/>
    <x v="3"/>
    <x v="13"/>
  </r>
  <r>
    <x v="512"/>
    <x v="71"/>
    <x v="0"/>
    <x v="36"/>
    <d v="2024-02-02T00:00:00"/>
    <x v="2"/>
    <x v="1"/>
    <x v="3"/>
    <x v="3"/>
    <x v="1"/>
    <s v="No"/>
    <x v="0"/>
    <x v="0"/>
    <n v="0"/>
    <n v="0"/>
    <n v="200"/>
    <n v="0"/>
    <n v="50"/>
    <n v="150"/>
    <n v="0"/>
    <n v="150"/>
    <x v="3"/>
    <x v="13"/>
  </r>
  <r>
    <x v="513"/>
    <x v="49"/>
    <x v="1"/>
    <x v="47"/>
    <d v="2024-02-02T00:00:00"/>
    <x v="1"/>
    <x v="0"/>
    <x v="1"/>
    <x v="1"/>
    <x v="1"/>
    <s v="No"/>
    <x v="1"/>
    <x v="2"/>
    <n v="0"/>
    <n v="150"/>
    <n v="200"/>
    <n v="0"/>
    <n v="0"/>
    <n v="350"/>
    <n v="0"/>
    <n v="350"/>
    <x v="0"/>
    <x v="13"/>
  </r>
  <r>
    <x v="514"/>
    <x v="69"/>
    <x v="0"/>
    <x v="67"/>
    <d v="2024-02-02T00:00:00"/>
    <x v="1"/>
    <x v="1"/>
    <x v="2"/>
    <x v="2"/>
    <x v="2"/>
    <s v="No"/>
    <x v="0"/>
    <x v="0"/>
    <n v="717"/>
    <n v="0"/>
    <n v="0"/>
    <n v="0"/>
    <n v="0"/>
    <n v="717"/>
    <n v="0"/>
    <n v="717"/>
    <x v="3"/>
    <x v="13"/>
  </r>
  <r>
    <x v="515"/>
    <x v="75"/>
    <x v="1"/>
    <x v="31"/>
    <d v="2024-02-02T00:00:00"/>
    <x v="5"/>
    <x v="0"/>
    <x v="3"/>
    <x v="3"/>
    <x v="1"/>
    <s v="No"/>
    <x v="0"/>
    <x v="0"/>
    <n v="0"/>
    <n v="0"/>
    <n v="200"/>
    <n v="0"/>
    <n v="0"/>
    <n v="200"/>
    <n v="0"/>
    <n v="200"/>
    <x v="0"/>
    <x v="13"/>
  </r>
  <r>
    <x v="516"/>
    <x v="75"/>
    <x v="1"/>
    <x v="75"/>
    <d v="2024-03-02T00:00:00"/>
    <x v="12"/>
    <x v="1"/>
    <x v="5"/>
    <x v="5"/>
    <x v="4"/>
    <s v="No"/>
    <x v="1"/>
    <x v="0"/>
    <n v="526"/>
    <n v="0"/>
    <n v="0"/>
    <n v="0"/>
    <n v="0"/>
    <n v="526"/>
    <n v="0"/>
    <n v="526"/>
    <x v="1"/>
    <x v="13"/>
  </r>
  <r>
    <x v="517"/>
    <x v="48"/>
    <x v="1"/>
    <x v="59"/>
    <d v="2024-03-02T00:00:00"/>
    <x v="2"/>
    <x v="1"/>
    <x v="0"/>
    <x v="0"/>
    <x v="0"/>
    <s v="No"/>
    <x v="1"/>
    <x v="0"/>
    <n v="631"/>
    <n v="0"/>
    <n v="0"/>
    <n v="0"/>
    <n v="0"/>
    <n v="631"/>
    <n v="0"/>
    <n v="631"/>
    <x v="3"/>
    <x v="13"/>
  </r>
  <r>
    <x v="518"/>
    <x v="5"/>
    <x v="1"/>
    <x v="35"/>
    <d v="2024-03-02T00:00:00"/>
    <x v="2"/>
    <x v="0"/>
    <x v="1"/>
    <x v="1"/>
    <x v="1"/>
    <s v="No"/>
    <x v="1"/>
    <x v="0"/>
    <n v="0"/>
    <n v="150"/>
    <n v="200"/>
    <n v="0"/>
    <n v="140"/>
    <n v="210"/>
    <n v="0"/>
    <n v="210"/>
    <x v="3"/>
    <x v="13"/>
  </r>
  <r>
    <x v="519"/>
    <x v="75"/>
    <x v="1"/>
    <x v="52"/>
    <d v="2024-05-02T00:00:00"/>
    <x v="1"/>
    <x v="0"/>
    <x v="3"/>
    <x v="3"/>
    <x v="1"/>
    <s v="No"/>
    <x v="0"/>
    <x v="1"/>
    <n v="0"/>
    <n v="0"/>
    <n v="200"/>
    <n v="0"/>
    <n v="0"/>
    <n v="200"/>
    <n v="0"/>
    <n v="200"/>
    <x v="1"/>
    <x v="13"/>
  </r>
  <r>
    <x v="520"/>
    <x v="28"/>
    <x v="0"/>
    <x v="42"/>
    <d v="2024-05-02T00:00:00"/>
    <x v="8"/>
    <x v="0"/>
    <x v="4"/>
    <x v="4"/>
    <x v="3"/>
    <s v="No"/>
    <x v="1"/>
    <x v="0"/>
    <n v="1644"/>
    <n v="0"/>
    <n v="0"/>
    <n v="0"/>
    <n v="0"/>
    <n v="1644"/>
    <n v="0"/>
    <n v="1644"/>
    <x v="1"/>
    <x v="13"/>
  </r>
  <r>
    <x v="521"/>
    <x v="59"/>
    <x v="1"/>
    <x v="20"/>
    <d v="2024-06-02T00:00:00"/>
    <x v="5"/>
    <x v="1"/>
    <x v="3"/>
    <x v="3"/>
    <x v="1"/>
    <s v="No"/>
    <x v="0"/>
    <x v="1"/>
    <n v="0"/>
    <n v="0"/>
    <n v="200"/>
    <n v="0"/>
    <n v="0"/>
    <n v="200"/>
    <n v="0"/>
    <n v="200"/>
    <x v="0"/>
    <x v="13"/>
  </r>
  <r>
    <x v="522"/>
    <x v="60"/>
    <x v="0"/>
    <x v="63"/>
    <d v="2024-07-02T00:00:00"/>
    <x v="6"/>
    <x v="0"/>
    <x v="1"/>
    <x v="1"/>
    <x v="1"/>
    <s v="No"/>
    <x v="1"/>
    <x v="0"/>
    <n v="0"/>
    <n v="150"/>
    <n v="200"/>
    <n v="0"/>
    <n v="0"/>
    <n v="350"/>
    <n v="0"/>
    <n v="350"/>
    <x v="1"/>
    <x v="13"/>
  </r>
  <r>
    <x v="523"/>
    <x v="88"/>
    <x v="1"/>
    <x v="32"/>
    <d v="2024-08-02T00:00:00"/>
    <x v="2"/>
    <x v="1"/>
    <x v="1"/>
    <x v="1"/>
    <x v="1"/>
    <s v="No"/>
    <x v="1"/>
    <x v="0"/>
    <n v="0"/>
    <n v="150"/>
    <n v="200"/>
    <n v="0"/>
    <n v="0"/>
    <n v="350"/>
    <n v="0"/>
    <n v="350"/>
    <x v="1"/>
    <x v="13"/>
  </r>
  <r>
    <x v="524"/>
    <x v="71"/>
    <x v="0"/>
    <x v="7"/>
    <d v="2024-08-02T00:00:00"/>
    <x v="2"/>
    <x v="1"/>
    <x v="1"/>
    <x v="1"/>
    <x v="1"/>
    <s v="No"/>
    <x v="1"/>
    <x v="0"/>
    <n v="0"/>
    <n v="150"/>
    <n v="200"/>
    <n v="0"/>
    <n v="0"/>
    <n v="350"/>
    <n v="0"/>
    <n v="350"/>
    <x v="2"/>
    <x v="13"/>
  </r>
  <r>
    <x v="525"/>
    <x v="34"/>
    <x v="1"/>
    <x v="64"/>
    <d v="2024-08-02T00:00:00"/>
    <x v="5"/>
    <x v="0"/>
    <x v="3"/>
    <x v="3"/>
    <x v="1"/>
    <s v="No"/>
    <x v="0"/>
    <x v="0"/>
    <n v="0"/>
    <n v="0"/>
    <n v="200"/>
    <n v="0"/>
    <n v="80"/>
    <n v="120"/>
    <n v="0"/>
    <n v="120"/>
    <x v="3"/>
    <x v="13"/>
  </r>
  <r>
    <x v="526"/>
    <x v="14"/>
    <x v="1"/>
    <x v="67"/>
    <d v="2024-08-02T00:00:00"/>
    <x v="2"/>
    <x v="0"/>
    <x v="1"/>
    <x v="1"/>
    <x v="1"/>
    <s v="No"/>
    <x v="1"/>
    <x v="0"/>
    <n v="0"/>
    <n v="150"/>
    <n v="200"/>
    <n v="0"/>
    <n v="140"/>
    <n v="210"/>
    <n v="0"/>
    <n v="210"/>
    <x v="1"/>
    <x v="13"/>
  </r>
  <r>
    <x v="527"/>
    <x v="11"/>
    <x v="0"/>
    <x v="52"/>
    <d v="2024-09-02T00:00:00"/>
    <x v="2"/>
    <x v="1"/>
    <x v="3"/>
    <x v="3"/>
    <x v="1"/>
    <s v="No"/>
    <x v="0"/>
    <x v="0"/>
    <n v="0"/>
    <n v="0"/>
    <n v="200"/>
    <n v="0"/>
    <n v="0"/>
    <n v="200"/>
    <n v="0"/>
    <n v="200"/>
    <x v="2"/>
    <x v="13"/>
  </r>
  <r>
    <x v="528"/>
    <x v="62"/>
    <x v="1"/>
    <x v="32"/>
    <d v="2024-09-02T00:00:00"/>
    <x v="2"/>
    <x v="0"/>
    <x v="3"/>
    <x v="3"/>
    <x v="1"/>
    <s v="No"/>
    <x v="0"/>
    <x v="0"/>
    <n v="0"/>
    <n v="0"/>
    <n v="200"/>
    <n v="0"/>
    <n v="80"/>
    <n v="120"/>
    <n v="0"/>
    <n v="120"/>
    <x v="3"/>
    <x v="13"/>
  </r>
  <r>
    <x v="529"/>
    <x v="81"/>
    <x v="0"/>
    <x v="1"/>
    <d v="2024-10-02T00:00:00"/>
    <x v="4"/>
    <x v="0"/>
    <x v="4"/>
    <x v="4"/>
    <x v="3"/>
    <s v="No"/>
    <x v="1"/>
    <x v="1"/>
    <n v="1236"/>
    <n v="0"/>
    <n v="0"/>
    <n v="0"/>
    <n v="0"/>
    <n v="1236"/>
    <n v="0"/>
    <n v="1236"/>
    <x v="2"/>
    <x v="13"/>
  </r>
  <r>
    <x v="530"/>
    <x v="61"/>
    <x v="1"/>
    <x v="23"/>
    <d v="2024-10-02T00:00:00"/>
    <x v="2"/>
    <x v="1"/>
    <x v="1"/>
    <x v="1"/>
    <x v="1"/>
    <s v="No"/>
    <x v="1"/>
    <x v="0"/>
    <n v="0"/>
    <n v="150"/>
    <n v="200"/>
    <n v="0"/>
    <n v="140"/>
    <n v="210"/>
    <n v="0"/>
    <n v="210"/>
    <x v="2"/>
    <x v="13"/>
  </r>
  <r>
    <x v="531"/>
    <x v="34"/>
    <x v="1"/>
    <x v="20"/>
    <d v="2024-11-02T00:00:00"/>
    <x v="2"/>
    <x v="0"/>
    <x v="3"/>
    <x v="3"/>
    <x v="1"/>
    <s v="No"/>
    <x v="0"/>
    <x v="0"/>
    <n v="0"/>
    <n v="0"/>
    <n v="200"/>
    <n v="0"/>
    <n v="80"/>
    <n v="120"/>
    <n v="0"/>
    <n v="120"/>
    <x v="3"/>
    <x v="13"/>
  </r>
  <r>
    <x v="532"/>
    <x v="39"/>
    <x v="0"/>
    <x v="59"/>
    <d v="2024-12-02T00:00:00"/>
    <x v="2"/>
    <x v="1"/>
    <x v="1"/>
    <x v="1"/>
    <x v="1"/>
    <s v="No"/>
    <x v="1"/>
    <x v="2"/>
    <n v="0"/>
    <n v="150"/>
    <n v="200"/>
    <n v="0"/>
    <n v="0"/>
    <n v="350"/>
    <n v="0"/>
    <n v="350"/>
    <x v="3"/>
    <x v="13"/>
  </r>
  <r>
    <x v="533"/>
    <x v="35"/>
    <x v="0"/>
    <x v="43"/>
    <d v="2024-12-02T00:00:00"/>
    <x v="5"/>
    <x v="0"/>
    <x v="3"/>
    <x v="3"/>
    <x v="1"/>
    <s v="No"/>
    <x v="0"/>
    <x v="0"/>
    <n v="0"/>
    <n v="0"/>
    <n v="200"/>
    <n v="0"/>
    <n v="0"/>
    <n v="200"/>
    <n v="0"/>
    <n v="200"/>
    <x v="2"/>
    <x v="13"/>
  </r>
  <r>
    <x v="534"/>
    <x v="36"/>
    <x v="0"/>
    <x v="50"/>
    <s v="13-02-2024"/>
    <x v="2"/>
    <x v="1"/>
    <x v="3"/>
    <x v="3"/>
    <x v="1"/>
    <s v="No"/>
    <x v="0"/>
    <x v="1"/>
    <n v="0"/>
    <n v="0"/>
    <n v="200"/>
    <n v="0"/>
    <n v="80"/>
    <n v="120"/>
    <n v="0"/>
    <n v="120"/>
    <x v="1"/>
    <x v="13"/>
  </r>
  <r>
    <x v="535"/>
    <x v="30"/>
    <x v="1"/>
    <x v="43"/>
    <s v="13-02-2024"/>
    <x v="5"/>
    <x v="1"/>
    <x v="3"/>
    <x v="3"/>
    <x v="1"/>
    <s v="No"/>
    <x v="0"/>
    <x v="0"/>
    <n v="0"/>
    <n v="0"/>
    <n v="200"/>
    <n v="0"/>
    <n v="80"/>
    <n v="120"/>
    <n v="0"/>
    <n v="120"/>
    <x v="2"/>
    <x v="13"/>
  </r>
  <r>
    <x v="536"/>
    <x v="44"/>
    <x v="1"/>
    <x v="21"/>
    <s v="13-02-2024"/>
    <x v="1"/>
    <x v="0"/>
    <x v="3"/>
    <x v="3"/>
    <x v="1"/>
    <s v="No"/>
    <x v="0"/>
    <x v="1"/>
    <n v="0"/>
    <n v="0"/>
    <n v="200"/>
    <n v="0"/>
    <n v="80"/>
    <n v="120"/>
    <n v="0"/>
    <n v="120"/>
    <x v="1"/>
    <x v="13"/>
  </r>
  <r>
    <x v="537"/>
    <x v="66"/>
    <x v="1"/>
    <x v="2"/>
    <s v="15-02-2024"/>
    <x v="2"/>
    <x v="0"/>
    <x v="3"/>
    <x v="3"/>
    <x v="1"/>
    <s v="No"/>
    <x v="0"/>
    <x v="1"/>
    <n v="0"/>
    <n v="0"/>
    <n v="200"/>
    <n v="0"/>
    <n v="0"/>
    <n v="200"/>
    <n v="0"/>
    <n v="200"/>
    <x v="2"/>
    <x v="13"/>
  </r>
  <r>
    <x v="538"/>
    <x v="8"/>
    <x v="0"/>
    <x v="72"/>
    <s v="16-02-2024"/>
    <x v="7"/>
    <x v="0"/>
    <x v="3"/>
    <x v="3"/>
    <x v="1"/>
    <s v="No"/>
    <x v="0"/>
    <x v="0"/>
    <n v="0"/>
    <n v="0"/>
    <n v="200"/>
    <n v="0"/>
    <n v="0"/>
    <n v="200"/>
    <n v="0"/>
    <n v="200"/>
    <x v="2"/>
    <x v="13"/>
  </r>
  <r>
    <x v="539"/>
    <x v="7"/>
    <x v="1"/>
    <x v="62"/>
    <s v="17-02-2024"/>
    <x v="13"/>
    <x v="0"/>
    <x v="3"/>
    <x v="3"/>
    <x v="1"/>
    <s v="No"/>
    <x v="0"/>
    <x v="0"/>
    <n v="0"/>
    <n v="0"/>
    <n v="200"/>
    <n v="0"/>
    <n v="0"/>
    <n v="200"/>
    <n v="0"/>
    <n v="200"/>
    <x v="1"/>
    <x v="13"/>
  </r>
  <r>
    <x v="540"/>
    <x v="34"/>
    <x v="1"/>
    <x v="43"/>
    <s v="19-02-2024"/>
    <x v="2"/>
    <x v="0"/>
    <x v="0"/>
    <x v="0"/>
    <x v="0"/>
    <s v="No"/>
    <x v="1"/>
    <x v="0"/>
    <n v="411"/>
    <n v="0"/>
    <n v="0"/>
    <n v="0"/>
    <n v="0"/>
    <n v="411"/>
    <n v="0"/>
    <n v="411"/>
    <x v="2"/>
    <x v="13"/>
  </r>
  <r>
    <x v="541"/>
    <x v="15"/>
    <x v="1"/>
    <x v="39"/>
    <s v="19-02-2024"/>
    <x v="2"/>
    <x v="0"/>
    <x v="4"/>
    <x v="4"/>
    <x v="3"/>
    <s v="No"/>
    <x v="1"/>
    <x v="0"/>
    <n v="1451"/>
    <n v="0"/>
    <n v="0"/>
    <n v="0"/>
    <n v="300"/>
    <n v="1151"/>
    <n v="0"/>
    <n v="1151"/>
    <x v="0"/>
    <x v="13"/>
  </r>
  <r>
    <x v="542"/>
    <x v="76"/>
    <x v="1"/>
    <x v="37"/>
    <s v="20-02-2024"/>
    <x v="1"/>
    <x v="1"/>
    <x v="1"/>
    <x v="1"/>
    <x v="1"/>
    <s v="No"/>
    <x v="1"/>
    <x v="0"/>
    <n v="0"/>
    <n v="150"/>
    <n v="200"/>
    <n v="0"/>
    <n v="0"/>
    <n v="350"/>
    <n v="0"/>
    <n v="350"/>
    <x v="3"/>
    <x v="13"/>
  </r>
  <r>
    <x v="543"/>
    <x v="81"/>
    <x v="0"/>
    <x v="74"/>
    <s v="20-02-2024"/>
    <x v="0"/>
    <x v="0"/>
    <x v="1"/>
    <x v="1"/>
    <x v="1"/>
    <s v="No"/>
    <x v="1"/>
    <x v="0"/>
    <n v="0"/>
    <n v="150"/>
    <n v="200"/>
    <n v="0"/>
    <n v="140"/>
    <n v="210"/>
    <n v="0"/>
    <n v="210"/>
    <x v="1"/>
    <x v="13"/>
  </r>
  <r>
    <x v="544"/>
    <x v="50"/>
    <x v="1"/>
    <x v="61"/>
    <s v="21-02-2024"/>
    <x v="8"/>
    <x v="0"/>
    <x v="7"/>
    <x v="7"/>
    <x v="5"/>
    <s v="No"/>
    <x v="1"/>
    <x v="0"/>
    <n v="14395"/>
    <n v="0"/>
    <n v="0"/>
    <n v="4020"/>
    <n v="0"/>
    <n v="14395"/>
    <n v="0"/>
    <n v="10375"/>
    <x v="3"/>
    <x v="13"/>
  </r>
  <r>
    <x v="545"/>
    <x v="42"/>
    <x v="0"/>
    <x v="18"/>
    <s v="22-02-2024"/>
    <x v="0"/>
    <x v="0"/>
    <x v="3"/>
    <x v="3"/>
    <x v="1"/>
    <s v="No"/>
    <x v="0"/>
    <x v="0"/>
    <n v="0"/>
    <n v="0"/>
    <n v="200"/>
    <n v="0"/>
    <n v="80"/>
    <n v="120"/>
    <n v="0"/>
    <n v="120"/>
    <x v="1"/>
    <x v="13"/>
  </r>
  <r>
    <x v="546"/>
    <x v="64"/>
    <x v="1"/>
    <x v="19"/>
    <s v="23-02-2024"/>
    <x v="5"/>
    <x v="1"/>
    <x v="1"/>
    <x v="1"/>
    <x v="1"/>
    <s v="No"/>
    <x v="1"/>
    <x v="1"/>
    <n v="0"/>
    <n v="150"/>
    <n v="200"/>
    <n v="0"/>
    <n v="0"/>
    <n v="350"/>
    <n v="0"/>
    <n v="350"/>
    <x v="0"/>
    <x v="13"/>
  </r>
  <r>
    <x v="547"/>
    <x v="59"/>
    <x v="1"/>
    <x v="49"/>
    <s v="23-02-2024"/>
    <x v="1"/>
    <x v="0"/>
    <x v="3"/>
    <x v="3"/>
    <x v="1"/>
    <s v="No"/>
    <x v="0"/>
    <x v="0"/>
    <n v="0"/>
    <n v="0"/>
    <n v="200"/>
    <n v="0"/>
    <n v="0"/>
    <n v="200"/>
    <n v="0"/>
    <n v="200"/>
    <x v="3"/>
    <x v="13"/>
  </r>
  <r>
    <x v="548"/>
    <x v="50"/>
    <x v="1"/>
    <x v="14"/>
    <s v="24-02-2024"/>
    <x v="2"/>
    <x v="0"/>
    <x v="1"/>
    <x v="1"/>
    <x v="1"/>
    <s v="No"/>
    <x v="1"/>
    <x v="0"/>
    <n v="0"/>
    <n v="150"/>
    <n v="200"/>
    <n v="0"/>
    <n v="140"/>
    <n v="210"/>
    <n v="0"/>
    <n v="210"/>
    <x v="3"/>
    <x v="13"/>
  </r>
  <r>
    <x v="549"/>
    <x v="81"/>
    <x v="0"/>
    <x v="28"/>
    <s v="24-02-2024"/>
    <x v="2"/>
    <x v="1"/>
    <x v="5"/>
    <x v="5"/>
    <x v="4"/>
    <s v="No"/>
    <x v="1"/>
    <x v="0"/>
    <n v="938"/>
    <n v="0"/>
    <n v="0"/>
    <n v="0"/>
    <n v="0"/>
    <n v="938"/>
    <n v="0"/>
    <n v="938"/>
    <x v="2"/>
    <x v="13"/>
  </r>
  <r>
    <x v="550"/>
    <x v="73"/>
    <x v="1"/>
    <x v="13"/>
    <s v="26-02-2024"/>
    <x v="7"/>
    <x v="0"/>
    <x v="3"/>
    <x v="3"/>
    <x v="1"/>
    <s v="No"/>
    <x v="0"/>
    <x v="0"/>
    <n v="0"/>
    <n v="0"/>
    <n v="200"/>
    <n v="0"/>
    <n v="0"/>
    <n v="200"/>
    <n v="0"/>
    <n v="200"/>
    <x v="3"/>
    <x v="13"/>
  </r>
  <r>
    <x v="551"/>
    <x v="18"/>
    <x v="1"/>
    <x v="64"/>
    <s v="27-02-2024"/>
    <x v="5"/>
    <x v="0"/>
    <x v="3"/>
    <x v="3"/>
    <x v="1"/>
    <s v="No"/>
    <x v="0"/>
    <x v="0"/>
    <n v="0"/>
    <n v="0"/>
    <n v="200"/>
    <n v="0"/>
    <n v="80"/>
    <n v="120"/>
    <n v="0"/>
    <n v="120"/>
    <x v="1"/>
    <x v="13"/>
  </r>
  <r>
    <x v="552"/>
    <x v="37"/>
    <x v="0"/>
    <x v="50"/>
    <s v="27-02-2024"/>
    <x v="6"/>
    <x v="0"/>
    <x v="1"/>
    <x v="1"/>
    <x v="1"/>
    <s v="No"/>
    <x v="1"/>
    <x v="0"/>
    <n v="0"/>
    <n v="150"/>
    <n v="200"/>
    <n v="0"/>
    <n v="0"/>
    <n v="350"/>
    <n v="0"/>
    <n v="350"/>
    <x v="2"/>
    <x v="13"/>
  </r>
  <r>
    <x v="553"/>
    <x v="81"/>
    <x v="0"/>
    <x v="9"/>
    <s v="27-02-2024"/>
    <x v="10"/>
    <x v="1"/>
    <x v="1"/>
    <x v="1"/>
    <x v="1"/>
    <s v="No"/>
    <x v="1"/>
    <x v="0"/>
    <n v="0"/>
    <n v="150"/>
    <n v="200"/>
    <n v="0"/>
    <n v="140"/>
    <n v="210"/>
    <n v="0"/>
    <n v="210"/>
    <x v="0"/>
    <x v="13"/>
  </r>
  <r>
    <x v="554"/>
    <x v="68"/>
    <x v="1"/>
    <x v="15"/>
    <s v="28-02-2024"/>
    <x v="2"/>
    <x v="1"/>
    <x v="9"/>
    <x v="9"/>
    <x v="7"/>
    <s v="No"/>
    <x v="1"/>
    <x v="1"/>
    <n v="2985"/>
    <n v="0"/>
    <n v="0"/>
    <n v="830"/>
    <n v="0"/>
    <n v="2985"/>
    <n v="0"/>
    <n v="2155"/>
    <x v="0"/>
    <x v="13"/>
  </r>
  <r>
    <x v="555"/>
    <x v="69"/>
    <x v="0"/>
    <x v="56"/>
    <s v="28-02-2024"/>
    <x v="5"/>
    <x v="1"/>
    <x v="1"/>
    <x v="1"/>
    <x v="1"/>
    <s v="No"/>
    <x v="1"/>
    <x v="0"/>
    <n v="0"/>
    <n v="150"/>
    <n v="200"/>
    <n v="0"/>
    <n v="0"/>
    <n v="350"/>
    <n v="0"/>
    <n v="350"/>
    <x v="3"/>
    <x v="13"/>
  </r>
  <r>
    <x v="556"/>
    <x v="46"/>
    <x v="0"/>
    <x v="56"/>
    <s v="29-02-2024"/>
    <x v="2"/>
    <x v="0"/>
    <x v="6"/>
    <x v="6"/>
    <x v="4"/>
    <s v="No"/>
    <x v="1"/>
    <x v="0"/>
    <n v="28247"/>
    <n v="0"/>
    <n v="0"/>
    <n v="5940"/>
    <n v="300"/>
    <n v="27947"/>
    <n v="0"/>
    <n v="22007"/>
    <x v="2"/>
    <x v="13"/>
  </r>
  <r>
    <x v="557"/>
    <x v="43"/>
    <x v="0"/>
    <x v="33"/>
    <d v="2024-01-03T00:00:00"/>
    <x v="1"/>
    <x v="0"/>
    <x v="6"/>
    <x v="6"/>
    <x v="4"/>
    <s v="No"/>
    <x v="1"/>
    <x v="0"/>
    <n v="21611"/>
    <n v="0"/>
    <n v="0"/>
    <n v="5700"/>
    <n v="0"/>
    <n v="21611"/>
    <n v="0"/>
    <n v="15911"/>
    <x v="3"/>
    <x v="14"/>
  </r>
  <r>
    <x v="558"/>
    <x v="16"/>
    <x v="0"/>
    <x v="44"/>
    <d v="2024-02-03T00:00:00"/>
    <x v="1"/>
    <x v="1"/>
    <x v="1"/>
    <x v="1"/>
    <x v="1"/>
    <s v="No"/>
    <x v="1"/>
    <x v="0"/>
    <n v="0"/>
    <n v="150"/>
    <n v="200"/>
    <n v="0"/>
    <n v="0"/>
    <n v="350"/>
    <n v="0"/>
    <n v="350"/>
    <x v="3"/>
    <x v="14"/>
  </r>
  <r>
    <x v="559"/>
    <x v="34"/>
    <x v="1"/>
    <x v="24"/>
    <d v="2024-02-03T00:00:00"/>
    <x v="0"/>
    <x v="0"/>
    <x v="3"/>
    <x v="3"/>
    <x v="1"/>
    <s v="No"/>
    <x v="0"/>
    <x v="2"/>
    <n v="0"/>
    <n v="0"/>
    <n v="200"/>
    <n v="0"/>
    <n v="0"/>
    <n v="200"/>
    <n v="0"/>
    <n v="200"/>
    <x v="3"/>
    <x v="14"/>
  </r>
  <r>
    <x v="560"/>
    <x v="67"/>
    <x v="1"/>
    <x v="3"/>
    <d v="2024-04-03T00:00:00"/>
    <x v="5"/>
    <x v="0"/>
    <x v="4"/>
    <x v="4"/>
    <x v="3"/>
    <s v="No"/>
    <x v="0"/>
    <x v="0"/>
    <n v="1611"/>
    <n v="0"/>
    <n v="0"/>
    <n v="0"/>
    <n v="0"/>
    <n v="1231"/>
    <n v="380"/>
    <n v="1231"/>
    <x v="1"/>
    <x v="14"/>
  </r>
  <r>
    <x v="561"/>
    <x v="13"/>
    <x v="0"/>
    <x v="20"/>
    <d v="2024-04-03T00:00:00"/>
    <x v="1"/>
    <x v="0"/>
    <x v="1"/>
    <x v="1"/>
    <x v="1"/>
    <s v="No"/>
    <x v="1"/>
    <x v="2"/>
    <n v="0"/>
    <n v="150"/>
    <n v="200"/>
    <n v="0"/>
    <n v="140"/>
    <n v="210"/>
    <n v="0"/>
    <n v="210"/>
    <x v="3"/>
    <x v="14"/>
  </r>
  <r>
    <x v="562"/>
    <x v="77"/>
    <x v="0"/>
    <x v="32"/>
    <d v="2024-05-03T00:00:00"/>
    <x v="8"/>
    <x v="0"/>
    <x v="7"/>
    <x v="7"/>
    <x v="5"/>
    <s v="Yes"/>
    <x v="1"/>
    <x v="0"/>
    <n v="14063"/>
    <n v="0"/>
    <n v="0"/>
    <n v="3270"/>
    <n v="0"/>
    <n v="14063"/>
    <n v="0"/>
    <n v="10793"/>
    <x v="1"/>
    <x v="14"/>
  </r>
  <r>
    <x v="563"/>
    <x v="61"/>
    <x v="1"/>
    <x v="22"/>
    <d v="2024-05-03T00:00:00"/>
    <x v="1"/>
    <x v="1"/>
    <x v="1"/>
    <x v="1"/>
    <x v="1"/>
    <s v="No"/>
    <x v="1"/>
    <x v="0"/>
    <n v="0"/>
    <n v="150"/>
    <n v="200"/>
    <n v="0"/>
    <n v="0"/>
    <n v="350"/>
    <n v="0"/>
    <n v="350"/>
    <x v="3"/>
    <x v="14"/>
  </r>
  <r>
    <x v="564"/>
    <x v="19"/>
    <x v="1"/>
    <x v="3"/>
    <d v="2024-06-03T00:00:00"/>
    <x v="2"/>
    <x v="0"/>
    <x v="3"/>
    <x v="3"/>
    <x v="1"/>
    <s v="No"/>
    <x v="0"/>
    <x v="0"/>
    <n v="0"/>
    <n v="0"/>
    <n v="200"/>
    <n v="0"/>
    <n v="0"/>
    <n v="200"/>
    <n v="0"/>
    <n v="200"/>
    <x v="3"/>
    <x v="14"/>
  </r>
  <r>
    <x v="565"/>
    <x v="22"/>
    <x v="1"/>
    <x v="22"/>
    <d v="2024-07-03T00:00:00"/>
    <x v="5"/>
    <x v="0"/>
    <x v="1"/>
    <x v="1"/>
    <x v="1"/>
    <s v="Yes"/>
    <x v="1"/>
    <x v="0"/>
    <n v="0"/>
    <n v="150"/>
    <n v="0"/>
    <n v="0"/>
    <n v="0"/>
    <n v="150"/>
    <n v="0"/>
    <n v="150"/>
    <x v="3"/>
    <x v="14"/>
  </r>
  <r>
    <x v="566"/>
    <x v="38"/>
    <x v="0"/>
    <x v="61"/>
    <d v="2024-07-03T00:00:00"/>
    <x v="1"/>
    <x v="1"/>
    <x v="1"/>
    <x v="1"/>
    <x v="1"/>
    <s v="No"/>
    <x v="1"/>
    <x v="2"/>
    <n v="0"/>
    <n v="150"/>
    <n v="200"/>
    <n v="0"/>
    <n v="0"/>
    <n v="350"/>
    <n v="0"/>
    <n v="350"/>
    <x v="3"/>
    <x v="14"/>
  </r>
  <r>
    <x v="567"/>
    <x v="59"/>
    <x v="1"/>
    <x v="69"/>
    <d v="2024-07-03T00:00:00"/>
    <x v="1"/>
    <x v="0"/>
    <x v="7"/>
    <x v="7"/>
    <x v="5"/>
    <s v="No"/>
    <x v="0"/>
    <x v="1"/>
    <n v="16881"/>
    <n v="0"/>
    <n v="0"/>
    <n v="4890"/>
    <n v="0"/>
    <n v="16881"/>
    <n v="0"/>
    <n v="11991"/>
    <x v="3"/>
    <x v="14"/>
  </r>
  <r>
    <x v="568"/>
    <x v="53"/>
    <x v="1"/>
    <x v="14"/>
    <d v="2024-08-03T00:00:00"/>
    <x v="5"/>
    <x v="0"/>
    <x v="1"/>
    <x v="1"/>
    <x v="1"/>
    <s v="No"/>
    <x v="1"/>
    <x v="1"/>
    <n v="0"/>
    <n v="150"/>
    <n v="200"/>
    <n v="0"/>
    <n v="140"/>
    <n v="210"/>
    <n v="0"/>
    <n v="210"/>
    <x v="3"/>
    <x v="14"/>
  </r>
  <r>
    <x v="569"/>
    <x v="69"/>
    <x v="0"/>
    <x v="35"/>
    <d v="2024-08-03T00:00:00"/>
    <x v="5"/>
    <x v="0"/>
    <x v="7"/>
    <x v="7"/>
    <x v="5"/>
    <s v="No"/>
    <x v="1"/>
    <x v="0"/>
    <n v="12169"/>
    <n v="0"/>
    <n v="0"/>
    <n v="2960"/>
    <n v="0"/>
    <n v="8206"/>
    <n v="3963"/>
    <n v="5246"/>
    <x v="1"/>
    <x v="14"/>
  </r>
  <r>
    <x v="570"/>
    <x v="80"/>
    <x v="1"/>
    <x v="64"/>
    <d v="2024-08-03T00:00:00"/>
    <x v="2"/>
    <x v="1"/>
    <x v="3"/>
    <x v="3"/>
    <x v="1"/>
    <s v="Yes"/>
    <x v="0"/>
    <x v="1"/>
    <n v="0"/>
    <n v="0"/>
    <n v="0"/>
    <n v="0"/>
    <n v="0"/>
    <n v="0"/>
    <n v="0"/>
    <n v="0"/>
    <x v="3"/>
    <x v="14"/>
  </r>
  <r>
    <x v="571"/>
    <x v="29"/>
    <x v="1"/>
    <x v="51"/>
    <d v="2024-09-03T00:00:00"/>
    <x v="2"/>
    <x v="1"/>
    <x v="3"/>
    <x v="3"/>
    <x v="1"/>
    <s v="No"/>
    <x v="0"/>
    <x v="0"/>
    <n v="0"/>
    <n v="0"/>
    <n v="200"/>
    <n v="0"/>
    <n v="80"/>
    <n v="120"/>
    <n v="0"/>
    <n v="120"/>
    <x v="1"/>
    <x v="14"/>
  </r>
  <r>
    <x v="572"/>
    <x v="34"/>
    <x v="1"/>
    <x v="57"/>
    <d v="2024-11-03T00:00:00"/>
    <x v="1"/>
    <x v="0"/>
    <x v="1"/>
    <x v="1"/>
    <x v="1"/>
    <s v="Yes"/>
    <x v="1"/>
    <x v="0"/>
    <n v="0"/>
    <n v="150"/>
    <n v="0"/>
    <n v="0"/>
    <n v="60"/>
    <n v="90"/>
    <n v="0"/>
    <n v="90"/>
    <x v="2"/>
    <x v="14"/>
  </r>
  <r>
    <x v="573"/>
    <x v="75"/>
    <x v="1"/>
    <x v="42"/>
    <d v="2024-11-03T00:00:00"/>
    <x v="1"/>
    <x v="1"/>
    <x v="1"/>
    <x v="1"/>
    <x v="1"/>
    <s v="No"/>
    <x v="1"/>
    <x v="0"/>
    <n v="0"/>
    <n v="150"/>
    <n v="200"/>
    <n v="0"/>
    <n v="0"/>
    <n v="350"/>
    <n v="0"/>
    <n v="350"/>
    <x v="3"/>
    <x v="14"/>
  </r>
  <r>
    <x v="574"/>
    <x v="28"/>
    <x v="0"/>
    <x v="7"/>
    <d v="2024-11-03T00:00:00"/>
    <x v="2"/>
    <x v="1"/>
    <x v="3"/>
    <x v="3"/>
    <x v="1"/>
    <s v="No"/>
    <x v="0"/>
    <x v="0"/>
    <n v="0"/>
    <n v="0"/>
    <n v="200"/>
    <n v="0"/>
    <n v="0"/>
    <n v="200"/>
    <n v="0"/>
    <n v="200"/>
    <x v="0"/>
    <x v="14"/>
  </r>
  <r>
    <x v="575"/>
    <x v="45"/>
    <x v="0"/>
    <x v="2"/>
    <s v="15-03-2024"/>
    <x v="1"/>
    <x v="0"/>
    <x v="3"/>
    <x v="3"/>
    <x v="1"/>
    <s v="No"/>
    <x v="0"/>
    <x v="1"/>
    <n v="0"/>
    <n v="0"/>
    <n v="200"/>
    <n v="0"/>
    <n v="0"/>
    <n v="200"/>
    <n v="0"/>
    <n v="200"/>
    <x v="1"/>
    <x v="14"/>
  </r>
  <r>
    <x v="576"/>
    <x v="37"/>
    <x v="0"/>
    <x v="52"/>
    <s v="15-03-2024"/>
    <x v="5"/>
    <x v="0"/>
    <x v="6"/>
    <x v="6"/>
    <x v="4"/>
    <s v="No"/>
    <x v="0"/>
    <x v="0"/>
    <n v="22880"/>
    <n v="0"/>
    <n v="0"/>
    <n v="7010"/>
    <n v="0"/>
    <n v="22880"/>
    <n v="0"/>
    <n v="15870"/>
    <x v="2"/>
    <x v="14"/>
  </r>
  <r>
    <x v="577"/>
    <x v="42"/>
    <x v="0"/>
    <x v="41"/>
    <s v="18-03-2024"/>
    <x v="2"/>
    <x v="0"/>
    <x v="3"/>
    <x v="3"/>
    <x v="1"/>
    <s v="Yes"/>
    <x v="0"/>
    <x v="0"/>
    <n v="0"/>
    <n v="0"/>
    <n v="0"/>
    <n v="0"/>
    <n v="0"/>
    <n v="0"/>
    <n v="0"/>
    <n v="0"/>
    <x v="0"/>
    <x v="14"/>
  </r>
  <r>
    <x v="578"/>
    <x v="17"/>
    <x v="1"/>
    <x v="23"/>
    <s v="18-03-2024"/>
    <x v="5"/>
    <x v="0"/>
    <x v="1"/>
    <x v="1"/>
    <x v="1"/>
    <s v="No"/>
    <x v="1"/>
    <x v="0"/>
    <n v="0"/>
    <n v="150"/>
    <n v="200"/>
    <n v="0"/>
    <n v="0"/>
    <n v="350"/>
    <n v="0"/>
    <n v="350"/>
    <x v="3"/>
    <x v="14"/>
  </r>
  <r>
    <x v="579"/>
    <x v="21"/>
    <x v="0"/>
    <x v="56"/>
    <s v="21-03-2024"/>
    <x v="2"/>
    <x v="1"/>
    <x v="1"/>
    <x v="1"/>
    <x v="1"/>
    <s v="Yes"/>
    <x v="1"/>
    <x v="0"/>
    <n v="0"/>
    <n v="150"/>
    <n v="0"/>
    <n v="0"/>
    <n v="0"/>
    <n v="150"/>
    <n v="0"/>
    <n v="150"/>
    <x v="3"/>
    <x v="14"/>
  </r>
  <r>
    <x v="580"/>
    <x v="10"/>
    <x v="0"/>
    <x v="60"/>
    <s v="21-03-2024"/>
    <x v="5"/>
    <x v="1"/>
    <x v="1"/>
    <x v="1"/>
    <x v="1"/>
    <s v="No"/>
    <x v="1"/>
    <x v="2"/>
    <n v="0"/>
    <n v="150"/>
    <n v="200"/>
    <n v="0"/>
    <n v="0"/>
    <n v="350"/>
    <n v="0"/>
    <n v="350"/>
    <x v="1"/>
    <x v="14"/>
  </r>
  <r>
    <x v="581"/>
    <x v="19"/>
    <x v="1"/>
    <x v="40"/>
    <s v="22-03-2024"/>
    <x v="4"/>
    <x v="0"/>
    <x v="1"/>
    <x v="1"/>
    <x v="1"/>
    <s v="No"/>
    <x v="1"/>
    <x v="0"/>
    <n v="0"/>
    <n v="150"/>
    <n v="200"/>
    <n v="0"/>
    <n v="0"/>
    <n v="350"/>
    <n v="0"/>
    <n v="350"/>
    <x v="2"/>
    <x v="14"/>
  </r>
  <r>
    <x v="582"/>
    <x v="87"/>
    <x v="1"/>
    <x v="20"/>
    <s v="22-03-2024"/>
    <x v="5"/>
    <x v="0"/>
    <x v="1"/>
    <x v="1"/>
    <x v="1"/>
    <s v="No"/>
    <x v="1"/>
    <x v="2"/>
    <n v="0"/>
    <n v="150"/>
    <n v="200"/>
    <n v="0"/>
    <n v="0"/>
    <n v="350"/>
    <n v="0"/>
    <n v="350"/>
    <x v="2"/>
    <x v="14"/>
  </r>
  <r>
    <x v="583"/>
    <x v="66"/>
    <x v="1"/>
    <x v="35"/>
    <s v="22-03-2024"/>
    <x v="2"/>
    <x v="1"/>
    <x v="3"/>
    <x v="3"/>
    <x v="1"/>
    <s v="Yes"/>
    <x v="0"/>
    <x v="1"/>
    <n v="0"/>
    <n v="0"/>
    <n v="0"/>
    <n v="0"/>
    <n v="0"/>
    <n v="0"/>
    <n v="0"/>
    <n v="0"/>
    <x v="1"/>
    <x v="14"/>
  </r>
  <r>
    <x v="584"/>
    <x v="7"/>
    <x v="1"/>
    <x v="73"/>
    <s v="25-03-2024"/>
    <x v="5"/>
    <x v="0"/>
    <x v="1"/>
    <x v="1"/>
    <x v="1"/>
    <s v="No"/>
    <x v="1"/>
    <x v="0"/>
    <n v="0"/>
    <n v="150"/>
    <n v="200"/>
    <n v="0"/>
    <n v="0"/>
    <n v="350"/>
    <n v="0"/>
    <n v="350"/>
    <x v="1"/>
    <x v="14"/>
  </r>
  <r>
    <x v="585"/>
    <x v="59"/>
    <x v="1"/>
    <x v="5"/>
    <s v="25-03-2024"/>
    <x v="0"/>
    <x v="0"/>
    <x v="7"/>
    <x v="7"/>
    <x v="5"/>
    <s v="Yes"/>
    <x v="1"/>
    <x v="0"/>
    <n v="17179"/>
    <n v="0"/>
    <n v="0"/>
    <n v="3070"/>
    <n v="0"/>
    <n v="17179"/>
    <n v="0"/>
    <n v="14109"/>
    <x v="3"/>
    <x v="14"/>
  </r>
  <r>
    <x v="586"/>
    <x v="78"/>
    <x v="0"/>
    <x v="61"/>
    <s v="25-03-2024"/>
    <x v="1"/>
    <x v="0"/>
    <x v="7"/>
    <x v="7"/>
    <x v="5"/>
    <s v="Yes"/>
    <x v="1"/>
    <x v="2"/>
    <n v="17434"/>
    <n v="0"/>
    <n v="0"/>
    <n v="4090"/>
    <n v="0"/>
    <n v="17434"/>
    <n v="0"/>
    <n v="13344"/>
    <x v="1"/>
    <x v="14"/>
  </r>
  <r>
    <x v="587"/>
    <x v="82"/>
    <x v="1"/>
    <x v="19"/>
    <s v="28-03-2024"/>
    <x v="1"/>
    <x v="1"/>
    <x v="3"/>
    <x v="3"/>
    <x v="1"/>
    <s v="No"/>
    <x v="0"/>
    <x v="2"/>
    <n v="0"/>
    <n v="0"/>
    <n v="200"/>
    <n v="0"/>
    <n v="0"/>
    <n v="200"/>
    <n v="0"/>
    <n v="200"/>
    <x v="2"/>
    <x v="14"/>
  </r>
  <r>
    <x v="588"/>
    <x v="67"/>
    <x v="1"/>
    <x v="20"/>
    <s v="28-03-2024"/>
    <x v="1"/>
    <x v="0"/>
    <x v="7"/>
    <x v="7"/>
    <x v="5"/>
    <s v="Yes"/>
    <x v="1"/>
    <x v="0"/>
    <n v="15462"/>
    <n v="0"/>
    <n v="0"/>
    <n v="2550"/>
    <n v="0"/>
    <n v="12496"/>
    <n v="2966"/>
    <n v="9946"/>
    <x v="3"/>
    <x v="14"/>
  </r>
  <r>
    <x v="589"/>
    <x v="33"/>
    <x v="0"/>
    <x v="46"/>
    <s v="29-03-2024"/>
    <x v="2"/>
    <x v="0"/>
    <x v="1"/>
    <x v="1"/>
    <x v="1"/>
    <s v="No"/>
    <x v="1"/>
    <x v="0"/>
    <n v="0"/>
    <n v="150"/>
    <n v="200"/>
    <n v="0"/>
    <n v="0"/>
    <n v="350"/>
    <n v="0"/>
    <n v="350"/>
    <x v="1"/>
    <x v="14"/>
  </r>
  <r>
    <x v="590"/>
    <x v="45"/>
    <x v="0"/>
    <x v="28"/>
    <s v="30-03-2024"/>
    <x v="1"/>
    <x v="0"/>
    <x v="1"/>
    <x v="1"/>
    <x v="1"/>
    <s v="Yes"/>
    <x v="1"/>
    <x v="0"/>
    <n v="0"/>
    <n v="150"/>
    <n v="0"/>
    <n v="0"/>
    <n v="60"/>
    <n v="90"/>
    <n v="0"/>
    <n v="90"/>
    <x v="0"/>
    <x v="14"/>
  </r>
  <r>
    <x v="591"/>
    <x v="85"/>
    <x v="0"/>
    <x v="13"/>
    <s v="30-03-2024"/>
    <x v="8"/>
    <x v="0"/>
    <x v="3"/>
    <x v="3"/>
    <x v="1"/>
    <s v="Yes"/>
    <x v="0"/>
    <x v="2"/>
    <n v="0"/>
    <n v="0"/>
    <n v="0"/>
    <n v="0"/>
    <n v="0"/>
    <n v="0"/>
    <n v="0"/>
    <n v="0"/>
    <x v="3"/>
    <x v="14"/>
  </r>
  <r>
    <x v="592"/>
    <x v="66"/>
    <x v="1"/>
    <x v="2"/>
    <s v="31-03-2024"/>
    <x v="8"/>
    <x v="1"/>
    <x v="3"/>
    <x v="3"/>
    <x v="1"/>
    <s v="Yes"/>
    <x v="0"/>
    <x v="0"/>
    <n v="0"/>
    <n v="0"/>
    <n v="0"/>
    <n v="0"/>
    <n v="0"/>
    <n v="0"/>
    <n v="0"/>
    <n v="0"/>
    <x v="3"/>
    <x v="14"/>
  </r>
  <r>
    <x v="593"/>
    <x v="33"/>
    <x v="0"/>
    <x v="62"/>
    <d v="2024-02-04T00:00:00"/>
    <x v="0"/>
    <x v="0"/>
    <x v="0"/>
    <x v="0"/>
    <x v="0"/>
    <s v="No"/>
    <x v="1"/>
    <x v="0"/>
    <n v="525"/>
    <n v="0"/>
    <n v="0"/>
    <n v="0"/>
    <n v="210"/>
    <n v="315"/>
    <n v="0"/>
    <n v="315"/>
    <x v="2"/>
    <x v="15"/>
  </r>
  <r>
    <x v="594"/>
    <x v="46"/>
    <x v="0"/>
    <x v="67"/>
    <d v="2024-02-04T00:00:00"/>
    <x v="1"/>
    <x v="1"/>
    <x v="1"/>
    <x v="1"/>
    <x v="1"/>
    <s v="No"/>
    <x v="1"/>
    <x v="0"/>
    <n v="0"/>
    <n v="150"/>
    <n v="200"/>
    <n v="0"/>
    <n v="0"/>
    <n v="350"/>
    <n v="0"/>
    <n v="350"/>
    <x v="1"/>
    <x v="15"/>
  </r>
  <r>
    <x v="595"/>
    <x v="58"/>
    <x v="0"/>
    <x v="0"/>
    <d v="2024-03-04T00:00:00"/>
    <x v="2"/>
    <x v="0"/>
    <x v="3"/>
    <x v="3"/>
    <x v="1"/>
    <s v="No"/>
    <x v="0"/>
    <x v="0"/>
    <n v="0"/>
    <n v="0"/>
    <n v="200"/>
    <n v="0"/>
    <n v="80"/>
    <n v="120"/>
    <n v="0"/>
    <n v="120"/>
    <x v="1"/>
    <x v="15"/>
  </r>
  <r>
    <x v="596"/>
    <x v="69"/>
    <x v="0"/>
    <x v="13"/>
    <d v="2024-03-04T00:00:00"/>
    <x v="3"/>
    <x v="1"/>
    <x v="3"/>
    <x v="3"/>
    <x v="1"/>
    <s v="No"/>
    <x v="0"/>
    <x v="0"/>
    <n v="0"/>
    <n v="0"/>
    <n v="200"/>
    <n v="0"/>
    <n v="80"/>
    <n v="120"/>
    <n v="0"/>
    <n v="120"/>
    <x v="1"/>
    <x v="15"/>
  </r>
  <r>
    <x v="597"/>
    <x v="23"/>
    <x v="1"/>
    <x v="23"/>
    <d v="2024-04-04T00:00:00"/>
    <x v="5"/>
    <x v="0"/>
    <x v="1"/>
    <x v="1"/>
    <x v="1"/>
    <s v="Yes"/>
    <x v="1"/>
    <x v="0"/>
    <n v="0"/>
    <n v="150"/>
    <n v="0"/>
    <n v="0"/>
    <n v="0"/>
    <n v="150"/>
    <n v="0"/>
    <n v="150"/>
    <x v="1"/>
    <x v="15"/>
  </r>
  <r>
    <x v="598"/>
    <x v="38"/>
    <x v="0"/>
    <x v="26"/>
    <d v="2024-05-04T00:00:00"/>
    <x v="6"/>
    <x v="0"/>
    <x v="1"/>
    <x v="1"/>
    <x v="1"/>
    <s v="Yes"/>
    <x v="1"/>
    <x v="0"/>
    <n v="0"/>
    <n v="150"/>
    <n v="0"/>
    <n v="0"/>
    <n v="0"/>
    <n v="150"/>
    <n v="0"/>
    <n v="150"/>
    <x v="1"/>
    <x v="15"/>
  </r>
  <r>
    <x v="599"/>
    <x v="55"/>
    <x v="1"/>
    <x v="31"/>
    <d v="2024-08-04T00:00:00"/>
    <x v="8"/>
    <x v="1"/>
    <x v="9"/>
    <x v="9"/>
    <x v="7"/>
    <s v="No"/>
    <x v="1"/>
    <x v="1"/>
    <n v="2328"/>
    <n v="0"/>
    <n v="0"/>
    <n v="700"/>
    <n v="0"/>
    <n v="2328"/>
    <n v="0"/>
    <n v="1628"/>
    <x v="3"/>
    <x v="15"/>
  </r>
  <r>
    <x v="600"/>
    <x v="19"/>
    <x v="1"/>
    <x v="42"/>
    <d v="2024-09-04T00:00:00"/>
    <x v="1"/>
    <x v="0"/>
    <x v="1"/>
    <x v="1"/>
    <x v="1"/>
    <s v="No"/>
    <x v="1"/>
    <x v="1"/>
    <n v="0"/>
    <n v="150"/>
    <n v="200"/>
    <n v="0"/>
    <n v="100"/>
    <n v="250"/>
    <n v="0"/>
    <n v="250"/>
    <x v="1"/>
    <x v="15"/>
  </r>
  <r>
    <x v="601"/>
    <x v="35"/>
    <x v="0"/>
    <x v="55"/>
    <d v="2024-10-04T00:00:00"/>
    <x v="5"/>
    <x v="1"/>
    <x v="0"/>
    <x v="0"/>
    <x v="0"/>
    <s v="No"/>
    <x v="1"/>
    <x v="0"/>
    <n v="677"/>
    <n v="0"/>
    <n v="0"/>
    <n v="0"/>
    <n v="0"/>
    <n v="677"/>
    <n v="0"/>
    <n v="677"/>
    <x v="2"/>
    <x v="15"/>
  </r>
  <r>
    <x v="602"/>
    <x v="16"/>
    <x v="0"/>
    <x v="30"/>
    <d v="2024-10-04T00:00:00"/>
    <x v="7"/>
    <x v="0"/>
    <x v="0"/>
    <x v="0"/>
    <x v="0"/>
    <s v="No"/>
    <x v="0"/>
    <x v="0"/>
    <n v="696"/>
    <n v="0"/>
    <n v="0"/>
    <n v="0"/>
    <n v="278.39999999999998"/>
    <n v="417.6"/>
    <n v="0"/>
    <n v="417.6"/>
    <x v="3"/>
    <x v="15"/>
  </r>
  <r>
    <x v="603"/>
    <x v="77"/>
    <x v="0"/>
    <x v="71"/>
    <d v="2024-11-04T00:00:00"/>
    <x v="1"/>
    <x v="1"/>
    <x v="0"/>
    <x v="0"/>
    <x v="0"/>
    <s v="No"/>
    <x v="1"/>
    <x v="0"/>
    <n v="536"/>
    <n v="0"/>
    <n v="0"/>
    <n v="0"/>
    <n v="0"/>
    <n v="536"/>
    <n v="0"/>
    <n v="536"/>
    <x v="3"/>
    <x v="15"/>
  </r>
  <r>
    <x v="604"/>
    <x v="25"/>
    <x v="1"/>
    <x v="66"/>
    <d v="2024-12-04T00:00:00"/>
    <x v="5"/>
    <x v="0"/>
    <x v="4"/>
    <x v="4"/>
    <x v="3"/>
    <s v="No"/>
    <x v="1"/>
    <x v="1"/>
    <n v="1567"/>
    <n v="0"/>
    <n v="0"/>
    <n v="0"/>
    <n v="0"/>
    <n v="1287"/>
    <n v="280"/>
    <n v="1287"/>
    <x v="0"/>
    <x v="15"/>
  </r>
  <r>
    <x v="605"/>
    <x v="72"/>
    <x v="0"/>
    <x v="1"/>
    <d v="2024-12-04T00:00:00"/>
    <x v="2"/>
    <x v="0"/>
    <x v="3"/>
    <x v="3"/>
    <x v="1"/>
    <s v="Yes"/>
    <x v="0"/>
    <x v="0"/>
    <n v="0"/>
    <n v="0"/>
    <n v="0"/>
    <n v="0"/>
    <n v="0"/>
    <n v="0"/>
    <n v="0"/>
    <n v="0"/>
    <x v="3"/>
    <x v="15"/>
  </r>
  <r>
    <x v="606"/>
    <x v="11"/>
    <x v="0"/>
    <x v="8"/>
    <s v="13-04-2024"/>
    <x v="0"/>
    <x v="1"/>
    <x v="3"/>
    <x v="3"/>
    <x v="1"/>
    <s v="Yes"/>
    <x v="0"/>
    <x v="0"/>
    <n v="0"/>
    <n v="0"/>
    <n v="0"/>
    <n v="0"/>
    <n v="0"/>
    <n v="0"/>
    <n v="0"/>
    <n v="0"/>
    <x v="2"/>
    <x v="15"/>
  </r>
  <r>
    <x v="607"/>
    <x v="47"/>
    <x v="1"/>
    <x v="71"/>
    <s v="17-04-2024"/>
    <x v="5"/>
    <x v="1"/>
    <x v="3"/>
    <x v="3"/>
    <x v="1"/>
    <s v="No"/>
    <x v="0"/>
    <x v="0"/>
    <n v="0"/>
    <n v="0"/>
    <n v="200"/>
    <n v="0"/>
    <n v="0"/>
    <n v="200"/>
    <n v="0"/>
    <n v="200"/>
    <x v="3"/>
    <x v="15"/>
  </r>
  <r>
    <x v="608"/>
    <x v="46"/>
    <x v="0"/>
    <x v="2"/>
    <s v="17-04-2024"/>
    <x v="2"/>
    <x v="0"/>
    <x v="1"/>
    <x v="1"/>
    <x v="1"/>
    <s v="No"/>
    <x v="1"/>
    <x v="0"/>
    <n v="0"/>
    <n v="150"/>
    <n v="200"/>
    <n v="0"/>
    <n v="0"/>
    <n v="350"/>
    <n v="0"/>
    <n v="350"/>
    <x v="3"/>
    <x v="15"/>
  </r>
  <r>
    <x v="609"/>
    <x v="14"/>
    <x v="1"/>
    <x v="67"/>
    <s v="18-04-2024"/>
    <x v="12"/>
    <x v="1"/>
    <x v="1"/>
    <x v="1"/>
    <x v="1"/>
    <s v="No"/>
    <x v="1"/>
    <x v="0"/>
    <n v="0"/>
    <n v="150"/>
    <n v="200"/>
    <n v="0"/>
    <n v="140"/>
    <n v="210"/>
    <n v="0"/>
    <n v="210"/>
    <x v="2"/>
    <x v="15"/>
  </r>
  <r>
    <x v="610"/>
    <x v="66"/>
    <x v="1"/>
    <x v="47"/>
    <s v="19-04-2024"/>
    <x v="2"/>
    <x v="1"/>
    <x v="1"/>
    <x v="1"/>
    <x v="1"/>
    <s v="No"/>
    <x v="1"/>
    <x v="0"/>
    <n v="0"/>
    <n v="150"/>
    <n v="200"/>
    <n v="0"/>
    <n v="0"/>
    <n v="350"/>
    <n v="0"/>
    <n v="350"/>
    <x v="1"/>
    <x v="15"/>
  </r>
  <r>
    <x v="611"/>
    <x v="79"/>
    <x v="1"/>
    <x v="36"/>
    <s v="20-04-2024"/>
    <x v="1"/>
    <x v="0"/>
    <x v="3"/>
    <x v="3"/>
    <x v="1"/>
    <s v="No"/>
    <x v="0"/>
    <x v="0"/>
    <n v="0"/>
    <n v="0"/>
    <n v="200"/>
    <n v="0"/>
    <n v="0"/>
    <n v="200"/>
    <n v="0"/>
    <n v="200"/>
    <x v="1"/>
    <x v="15"/>
  </r>
  <r>
    <x v="612"/>
    <x v="7"/>
    <x v="1"/>
    <x v="51"/>
    <s v="20-04-2024"/>
    <x v="1"/>
    <x v="0"/>
    <x v="3"/>
    <x v="3"/>
    <x v="1"/>
    <s v="No"/>
    <x v="0"/>
    <x v="2"/>
    <n v="0"/>
    <n v="0"/>
    <n v="200"/>
    <n v="0"/>
    <n v="0"/>
    <n v="200"/>
    <n v="0"/>
    <n v="200"/>
    <x v="1"/>
    <x v="15"/>
  </r>
  <r>
    <x v="613"/>
    <x v="11"/>
    <x v="0"/>
    <x v="57"/>
    <s v="21-04-2024"/>
    <x v="1"/>
    <x v="0"/>
    <x v="1"/>
    <x v="1"/>
    <x v="1"/>
    <s v="Yes"/>
    <x v="1"/>
    <x v="0"/>
    <n v="0"/>
    <n v="150"/>
    <n v="0"/>
    <n v="0"/>
    <n v="60"/>
    <n v="90"/>
    <n v="0"/>
    <n v="90"/>
    <x v="1"/>
    <x v="15"/>
  </r>
  <r>
    <x v="614"/>
    <x v="77"/>
    <x v="0"/>
    <x v="45"/>
    <s v="22-04-2024"/>
    <x v="5"/>
    <x v="0"/>
    <x v="7"/>
    <x v="7"/>
    <x v="5"/>
    <s v="No"/>
    <x v="1"/>
    <x v="0"/>
    <n v="14280"/>
    <n v="0"/>
    <n v="0"/>
    <n v="3030"/>
    <n v="0"/>
    <n v="14280"/>
    <n v="0"/>
    <n v="11250"/>
    <x v="2"/>
    <x v="15"/>
  </r>
  <r>
    <x v="615"/>
    <x v="86"/>
    <x v="0"/>
    <x v="4"/>
    <s v="22-04-2024"/>
    <x v="7"/>
    <x v="0"/>
    <x v="3"/>
    <x v="3"/>
    <x v="1"/>
    <s v="No"/>
    <x v="0"/>
    <x v="1"/>
    <n v="0"/>
    <n v="0"/>
    <n v="200"/>
    <n v="0"/>
    <n v="0"/>
    <n v="200"/>
    <n v="0"/>
    <n v="200"/>
    <x v="1"/>
    <x v="15"/>
  </r>
  <r>
    <x v="616"/>
    <x v="84"/>
    <x v="1"/>
    <x v="25"/>
    <s v="22-04-2024"/>
    <x v="2"/>
    <x v="0"/>
    <x v="1"/>
    <x v="1"/>
    <x v="1"/>
    <s v="Yes"/>
    <x v="1"/>
    <x v="0"/>
    <n v="0"/>
    <n v="150"/>
    <n v="0"/>
    <n v="0"/>
    <n v="60"/>
    <n v="90"/>
    <n v="0"/>
    <n v="90"/>
    <x v="2"/>
    <x v="15"/>
  </r>
  <r>
    <x v="617"/>
    <x v="38"/>
    <x v="0"/>
    <x v="10"/>
    <s v="23-04-2024"/>
    <x v="2"/>
    <x v="1"/>
    <x v="1"/>
    <x v="1"/>
    <x v="1"/>
    <s v="Yes"/>
    <x v="1"/>
    <x v="0"/>
    <n v="0"/>
    <n v="150"/>
    <n v="0"/>
    <n v="0"/>
    <n v="60"/>
    <n v="90"/>
    <n v="0"/>
    <n v="90"/>
    <x v="2"/>
    <x v="15"/>
  </r>
  <r>
    <x v="618"/>
    <x v="40"/>
    <x v="0"/>
    <x v="12"/>
    <s v="23-04-2024"/>
    <x v="5"/>
    <x v="0"/>
    <x v="3"/>
    <x v="3"/>
    <x v="1"/>
    <s v="Yes"/>
    <x v="0"/>
    <x v="0"/>
    <n v="0"/>
    <n v="0"/>
    <n v="0"/>
    <n v="0"/>
    <n v="0"/>
    <n v="0"/>
    <n v="0"/>
    <n v="0"/>
    <x v="3"/>
    <x v="15"/>
  </r>
  <r>
    <x v="619"/>
    <x v="49"/>
    <x v="1"/>
    <x v="40"/>
    <s v="25-04-2024"/>
    <x v="1"/>
    <x v="0"/>
    <x v="6"/>
    <x v="6"/>
    <x v="4"/>
    <s v="No"/>
    <x v="0"/>
    <x v="0"/>
    <n v="23141"/>
    <n v="0"/>
    <n v="0"/>
    <n v="4960"/>
    <n v="0"/>
    <n v="23141"/>
    <n v="0"/>
    <n v="18181"/>
    <x v="3"/>
    <x v="15"/>
  </r>
  <r>
    <x v="620"/>
    <x v="21"/>
    <x v="0"/>
    <x v="59"/>
    <s v="26-04-2024"/>
    <x v="5"/>
    <x v="1"/>
    <x v="0"/>
    <x v="0"/>
    <x v="0"/>
    <s v="Yes"/>
    <x v="1"/>
    <x v="0"/>
    <n v="672"/>
    <n v="0"/>
    <n v="0"/>
    <n v="0"/>
    <n v="0"/>
    <n v="672"/>
    <n v="0"/>
    <n v="672"/>
    <x v="1"/>
    <x v="15"/>
  </r>
  <r>
    <x v="621"/>
    <x v="34"/>
    <x v="1"/>
    <x v="15"/>
    <s v="26-04-2024"/>
    <x v="2"/>
    <x v="1"/>
    <x v="1"/>
    <x v="1"/>
    <x v="1"/>
    <s v="Yes"/>
    <x v="1"/>
    <x v="0"/>
    <n v="0"/>
    <n v="150"/>
    <n v="0"/>
    <n v="0"/>
    <n v="0"/>
    <n v="150"/>
    <n v="0"/>
    <n v="150"/>
    <x v="2"/>
    <x v="15"/>
  </r>
  <r>
    <x v="622"/>
    <x v="64"/>
    <x v="1"/>
    <x v="19"/>
    <s v="26-04-2024"/>
    <x v="5"/>
    <x v="0"/>
    <x v="0"/>
    <x v="0"/>
    <x v="0"/>
    <s v="No"/>
    <x v="0"/>
    <x v="0"/>
    <n v="500"/>
    <n v="0"/>
    <n v="0"/>
    <n v="0"/>
    <n v="200"/>
    <n v="300"/>
    <n v="0"/>
    <n v="300"/>
    <x v="1"/>
    <x v="15"/>
  </r>
  <r>
    <x v="623"/>
    <x v="64"/>
    <x v="1"/>
    <x v="43"/>
    <s v="27-04-2024"/>
    <x v="1"/>
    <x v="0"/>
    <x v="4"/>
    <x v="4"/>
    <x v="3"/>
    <s v="Yes"/>
    <x v="1"/>
    <x v="0"/>
    <n v="1444"/>
    <n v="0"/>
    <n v="0"/>
    <n v="0"/>
    <n v="0"/>
    <n v="1444"/>
    <n v="0"/>
    <n v="1444"/>
    <x v="2"/>
    <x v="15"/>
  </r>
  <r>
    <x v="624"/>
    <x v="16"/>
    <x v="0"/>
    <x v="52"/>
    <s v="27-04-2024"/>
    <x v="2"/>
    <x v="0"/>
    <x v="3"/>
    <x v="3"/>
    <x v="1"/>
    <s v="No"/>
    <x v="0"/>
    <x v="0"/>
    <n v="0"/>
    <n v="0"/>
    <n v="200"/>
    <n v="0"/>
    <n v="0"/>
    <n v="200"/>
    <n v="0"/>
    <n v="200"/>
    <x v="2"/>
    <x v="15"/>
  </r>
  <r>
    <x v="625"/>
    <x v="87"/>
    <x v="1"/>
    <x v="53"/>
    <s v="29-04-2024"/>
    <x v="2"/>
    <x v="0"/>
    <x v="1"/>
    <x v="1"/>
    <x v="1"/>
    <s v="No"/>
    <x v="1"/>
    <x v="0"/>
    <n v="0"/>
    <n v="150"/>
    <n v="200"/>
    <n v="0"/>
    <n v="0"/>
    <n v="350"/>
    <n v="0"/>
    <n v="350"/>
    <x v="3"/>
    <x v="15"/>
  </r>
  <r>
    <x v="626"/>
    <x v="9"/>
    <x v="0"/>
    <x v="0"/>
    <s v="30-04-2024"/>
    <x v="12"/>
    <x v="1"/>
    <x v="9"/>
    <x v="9"/>
    <x v="7"/>
    <s v="Yes"/>
    <x v="0"/>
    <x v="0"/>
    <n v="3569"/>
    <n v="0"/>
    <n v="0"/>
    <n v="1200"/>
    <n v="100"/>
    <n v="2886"/>
    <n v="583"/>
    <n v="1686"/>
    <x v="3"/>
    <x v="15"/>
  </r>
  <r>
    <x v="627"/>
    <x v="67"/>
    <x v="1"/>
    <x v="40"/>
    <d v="2024-01-05T00:00:00"/>
    <x v="2"/>
    <x v="0"/>
    <x v="1"/>
    <x v="1"/>
    <x v="1"/>
    <s v="Yes"/>
    <x v="1"/>
    <x v="0"/>
    <n v="0"/>
    <n v="150"/>
    <n v="0"/>
    <n v="0"/>
    <n v="0"/>
    <n v="150"/>
    <n v="0"/>
    <n v="150"/>
    <x v="3"/>
    <x v="16"/>
  </r>
  <r>
    <x v="628"/>
    <x v="38"/>
    <x v="0"/>
    <x v="37"/>
    <d v="2024-01-05T00:00:00"/>
    <x v="13"/>
    <x v="1"/>
    <x v="1"/>
    <x v="1"/>
    <x v="1"/>
    <s v="No"/>
    <x v="1"/>
    <x v="0"/>
    <n v="0"/>
    <n v="150"/>
    <n v="200"/>
    <n v="0"/>
    <n v="0"/>
    <n v="350"/>
    <n v="0"/>
    <n v="350"/>
    <x v="3"/>
    <x v="16"/>
  </r>
  <r>
    <x v="629"/>
    <x v="15"/>
    <x v="1"/>
    <x v="14"/>
    <d v="2024-02-05T00:00:00"/>
    <x v="2"/>
    <x v="0"/>
    <x v="1"/>
    <x v="1"/>
    <x v="1"/>
    <s v="No"/>
    <x v="1"/>
    <x v="0"/>
    <n v="0"/>
    <n v="150"/>
    <n v="200"/>
    <n v="0"/>
    <n v="0"/>
    <n v="350"/>
    <n v="0"/>
    <n v="350"/>
    <x v="3"/>
    <x v="16"/>
  </r>
  <r>
    <x v="630"/>
    <x v="12"/>
    <x v="1"/>
    <x v="5"/>
    <d v="2024-04-05T00:00:00"/>
    <x v="2"/>
    <x v="0"/>
    <x v="4"/>
    <x v="4"/>
    <x v="3"/>
    <s v="Yes"/>
    <x v="1"/>
    <x v="0"/>
    <n v="1774"/>
    <n v="0"/>
    <n v="0"/>
    <n v="0"/>
    <n v="0"/>
    <n v="1774"/>
    <n v="0"/>
    <n v="1774"/>
    <x v="2"/>
    <x v="16"/>
  </r>
  <r>
    <x v="631"/>
    <x v="20"/>
    <x v="0"/>
    <x v="29"/>
    <d v="2024-06-05T00:00:00"/>
    <x v="2"/>
    <x v="0"/>
    <x v="3"/>
    <x v="3"/>
    <x v="1"/>
    <s v="No"/>
    <x v="0"/>
    <x v="0"/>
    <n v="0"/>
    <n v="0"/>
    <n v="200"/>
    <n v="0"/>
    <n v="0"/>
    <n v="200"/>
    <n v="0"/>
    <n v="200"/>
    <x v="3"/>
    <x v="16"/>
  </r>
  <r>
    <x v="632"/>
    <x v="84"/>
    <x v="1"/>
    <x v="15"/>
    <d v="2024-07-05T00:00:00"/>
    <x v="5"/>
    <x v="1"/>
    <x v="3"/>
    <x v="3"/>
    <x v="1"/>
    <s v="No"/>
    <x v="0"/>
    <x v="1"/>
    <n v="0"/>
    <n v="0"/>
    <n v="200"/>
    <n v="0"/>
    <n v="0"/>
    <n v="200"/>
    <n v="0"/>
    <n v="200"/>
    <x v="1"/>
    <x v="16"/>
  </r>
  <r>
    <x v="633"/>
    <x v="11"/>
    <x v="0"/>
    <x v="0"/>
    <d v="2024-08-05T00:00:00"/>
    <x v="8"/>
    <x v="1"/>
    <x v="1"/>
    <x v="1"/>
    <x v="1"/>
    <s v="No"/>
    <x v="1"/>
    <x v="0"/>
    <n v="0"/>
    <n v="150"/>
    <n v="200"/>
    <n v="0"/>
    <n v="0"/>
    <n v="350"/>
    <n v="0"/>
    <n v="350"/>
    <x v="3"/>
    <x v="16"/>
  </r>
  <r>
    <x v="634"/>
    <x v="17"/>
    <x v="1"/>
    <x v="43"/>
    <d v="2024-09-05T00:00:00"/>
    <x v="11"/>
    <x v="0"/>
    <x v="0"/>
    <x v="0"/>
    <x v="0"/>
    <s v="No"/>
    <x v="1"/>
    <x v="0"/>
    <n v="672"/>
    <n v="0"/>
    <n v="0"/>
    <n v="0"/>
    <n v="0"/>
    <n v="672"/>
    <n v="0"/>
    <n v="672"/>
    <x v="3"/>
    <x v="16"/>
  </r>
  <r>
    <x v="635"/>
    <x v="6"/>
    <x v="0"/>
    <x v="26"/>
    <d v="2024-10-05T00:00:00"/>
    <x v="1"/>
    <x v="0"/>
    <x v="3"/>
    <x v="3"/>
    <x v="1"/>
    <s v="Yes"/>
    <x v="0"/>
    <x v="0"/>
    <n v="0"/>
    <n v="0"/>
    <n v="0"/>
    <n v="0"/>
    <n v="0"/>
    <n v="0"/>
    <n v="0"/>
    <n v="0"/>
    <x v="3"/>
    <x v="16"/>
  </r>
  <r>
    <x v="636"/>
    <x v="36"/>
    <x v="0"/>
    <x v="1"/>
    <d v="2024-11-05T00:00:00"/>
    <x v="1"/>
    <x v="0"/>
    <x v="3"/>
    <x v="3"/>
    <x v="1"/>
    <s v="No"/>
    <x v="0"/>
    <x v="0"/>
    <n v="0"/>
    <n v="0"/>
    <n v="200"/>
    <n v="0"/>
    <n v="80"/>
    <n v="120"/>
    <n v="0"/>
    <n v="120"/>
    <x v="3"/>
    <x v="16"/>
  </r>
  <r>
    <x v="637"/>
    <x v="28"/>
    <x v="0"/>
    <x v="72"/>
    <d v="2024-11-05T00:00:00"/>
    <x v="1"/>
    <x v="0"/>
    <x v="1"/>
    <x v="1"/>
    <x v="1"/>
    <s v="No"/>
    <x v="1"/>
    <x v="0"/>
    <n v="0"/>
    <n v="150"/>
    <n v="200"/>
    <n v="0"/>
    <n v="0"/>
    <n v="350"/>
    <n v="0"/>
    <n v="350"/>
    <x v="3"/>
    <x v="16"/>
  </r>
  <r>
    <x v="638"/>
    <x v="54"/>
    <x v="1"/>
    <x v="12"/>
    <s v="13-05-2024"/>
    <x v="5"/>
    <x v="1"/>
    <x v="1"/>
    <x v="1"/>
    <x v="1"/>
    <s v="No"/>
    <x v="1"/>
    <x v="1"/>
    <n v="0"/>
    <n v="150"/>
    <n v="200"/>
    <n v="0"/>
    <n v="50"/>
    <n v="300"/>
    <n v="0"/>
    <n v="300"/>
    <x v="3"/>
    <x v="16"/>
  </r>
  <r>
    <x v="639"/>
    <x v="71"/>
    <x v="0"/>
    <x v="33"/>
    <s v="13-05-2024"/>
    <x v="2"/>
    <x v="1"/>
    <x v="5"/>
    <x v="5"/>
    <x v="4"/>
    <s v="No"/>
    <x v="1"/>
    <x v="0"/>
    <n v="601"/>
    <n v="0"/>
    <n v="0"/>
    <n v="0"/>
    <n v="240.4"/>
    <n v="360.6"/>
    <n v="0"/>
    <n v="360.6"/>
    <x v="3"/>
    <x v="16"/>
  </r>
  <r>
    <x v="640"/>
    <x v="20"/>
    <x v="0"/>
    <x v="44"/>
    <s v="13-05-2024"/>
    <x v="1"/>
    <x v="1"/>
    <x v="0"/>
    <x v="0"/>
    <x v="0"/>
    <s v="No"/>
    <x v="1"/>
    <x v="0"/>
    <n v="618"/>
    <n v="0"/>
    <n v="0"/>
    <n v="0"/>
    <n v="0"/>
    <n v="618"/>
    <n v="0"/>
    <n v="618"/>
    <x v="3"/>
    <x v="16"/>
  </r>
  <r>
    <x v="641"/>
    <x v="16"/>
    <x v="0"/>
    <x v="73"/>
    <s v="14-05-2024"/>
    <x v="8"/>
    <x v="1"/>
    <x v="1"/>
    <x v="1"/>
    <x v="1"/>
    <s v="No"/>
    <x v="1"/>
    <x v="0"/>
    <n v="0"/>
    <n v="150"/>
    <n v="200"/>
    <n v="0"/>
    <n v="0"/>
    <n v="350"/>
    <n v="0"/>
    <n v="350"/>
    <x v="2"/>
    <x v="16"/>
  </r>
  <r>
    <x v="642"/>
    <x v="8"/>
    <x v="0"/>
    <x v="23"/>
    <s v="16-05-2024"/>
    <x v="5"/>
    <x v="0"/>
    <x v="3"/>
    <x v="3"/>
    <x v="1"/>
    <s v="Yes"/>
    <x v="0"/>
    <x v="0"/>
    <n v="0"/>
    <n v="0"/>
    <n v="0"/>
    <n v="0"/>
    <n v="0"/>
    <n v="0"/>
    <n v="0"/>
    <n v="0"/>
    <x v="1"/>
    <x v="16"/>
  </r>
  <r>
    <x v="643"/>
    <x v="65"/>
    <x v="1"/>
    <x v="32"/>
    <s v="16-05-2024"/>
    <x v="2"/>
    <x v="0"/>
    <x v="4"/>
    <x v="4"/>
    <x v="3"/>
    <s v="No"/>
    <x v="0"/>
    <x v="0"/>
    <n v="1324"/>
    <n v="0"/>
    <n v="0"/>
    <n v="0"/>
    <n v="300"/>
    <n v="1024"/>
    <n v="0"/>
    <n v="1024"/>
    <x v="1"/>
    <x v="16"/>
  </r>
  <r>
    <x v="644"/>
    <x v="41"/>
    <x v="0"/>
    <x v="45"/>
    <s v="18-05-2024"/>
    <x v="2"/>
    <x v="0"/>
    <x v="1"/>
    <x v="1"/>
    <x v="1"/>
    <s v="Yes"/>
    <x v="1"/>
    <x v="0"/>
    <n v="0"/>
    <n v="150"/>
    <n v="0"/>
    <n v="0"/>
    <n v="60"/>
    <n v="90"/>
    <n v="0"/>
    <n v="90"/>
    <x v="0"/>
    <x v="16"/>
  </r>
  <r>
    <x v="645"/>
    <x v="69"/>
    <x v="0"/>
    <x v="55"/>
    <s v="18-05-2024"/>
    <x v="2"/>
    <x v="0"/>
    <x v="1"/>
    <x v="1"/>
    <x v="1"/>
    <s v="Yes"/>
    <x v="1"/>
    <x v="0"/>
    <n v="0"/>
    <n v="150"/>
    <n v="0"/>
    <n v="0"/>
    <n v="60"/>
    <n v="90"/>
    <n v="0"/>
    <n v="90"/>
    <x v="3"/>
    <x v="16"/>
  </r>
  <r>
    <x v="646"/>
    <x v="32"/>
    <x v="1"/>
    <x v="32"/>
    <s v="19-05-2024"/>
    <x v="2"/>
    <x v="1"/>
    <x v="5"/>
    <x v="5"/>
    <x v="4"/>
    <s v="No"/>
    <x v="1"/>
    <x v="0"/>
    <n v="676"/>
    <n v="0"/>
    <n v="0"/>
    <n v="0"/>
    <n v="0"/>
    <n v="676"/>
    <n v="0"/>
    <n v="676"/>
    <x v="1"/>
    <x v="16"/>
  </r>
  <r>
    <x v="647"/>
    <x v="37"/>
    <x v="0"/>
    <x v="37"/>
    <s v="20-05-2024"/>
    <x v="1"/>
    <x v="0"/>
    <x v="4"/>
    <x v="4"/>
    <x v="3"/>
    <s v="No"/>
    <x v="1"/>
    <x v="0"/>
    <n v="1677"/>
    <n v="0"/>
    <n v="0"/>
    <n v="0"/>
    <n v="0"/>
    <n v="1677"/>
    <n v="0"/>
    <n v="1677"/>
    <x v="3"/>
    <x v="16"/>
  </r>
  <r>
    <x v="648"/>
    <x v="57"/>
    <x v="1"/>
    <x v="14"/>
    <s v="21-05-2024"/>
    <x v="5"/>
    <x v="1"/>
    <x v="3"/>
    <x v="3"/>
    <x v="1"/>
    <s v="No"/>
    <x v="0"/>
    <x v="0"/>
    <n v="0"/>
    <n v="0"/>
    <n v="200"/>
    <n v="0"/>
    <n v="0"/>
    <n v="200"/>
    <n v="0"/>
    <n v="200"/>
    <x v="1"/>
    <x v="16"/>
  </r>
  <r>
    <x v="649"/>
    <x v="50"/>
    <x v="1"/>
    <x v="35"/>
    <s v="21-05-2024"/>
    <x v="2"/>
    <x v="0"/>
    <x v="8"/>
    <x v="8"/>
    <x v="6"/>
    <s v="No"/>
    <x v="1"/>
    <x v="0"/>
    <n v="3459"/>
    <n v="0"/>
    <n v="0"/>
    <n v="0"/>
    <n v="0"/>
    <n v="3459"/>
    <n v="0"/>
    <n v="3459"/>
    <x v="3"/>
    <x v="16"/>
  </r>
  <r>
    <x v="650"/>
    <x v="69"/>
    <x v="0"/>
    <x v="11"/>
    <s v="21-05-2024"/>
    <x v="5"/>
    <x v="1"/>
    <x v="1"/>
    <x v="1"/>
    <x v="1"/>
    <s v="No"/>
    <x v="1"/>
    <x v="0"/>
    <n v="0"/>
    <n v="150"/>
    <n v="200"/>
    <n v="0"/>
    <n v="140"/>
    <n v="210"/>
    <n v="0"/>
    <n v="210"/>
    <x v="0"/>
    <x v="16"/>
  </r>
  <r>
    <x v="651"/>
    <x v="21"/>
    <x v="0"/>
    <x v="38"/>
    <s v="22-05-2024"/>
    <x v="1"/>
    <x v="0"/>
    <x v="1"/>
    <x v="1"/>
    <x v="1"/>
    <s v="No"/>
    <x v="1"/>
    <x v="0"/>
    <n v="0"/>
    <n v="150"/>
    <n v="200"/>
    <n v="0"/>
    <n v="0"/>
    <n v="350"/>
    <n v="0"/>
    <n v="350"/>
    <x v="3"/>
    <x v="16"/>
  </r>
  <r>
    <x v="652"/>
    <x v="42"/>
    <x v="0"/>
    <x v="16"/>
    <s v="23-05-2024"/>
    <x v="8"/>
    <x v="0"/>
    <x v="3"/>
    <x v="3"/>
    <x v="1"/>
    <s v="No"/>
    <x v="0"/>
    <x v="0"/>
    <n v="0"/>
    <n v="0"/>
    <n v="200"/>
    <n v="0"/>
    <n v="0"/>
    <n v="200"/>
    <n v="0"/>
    <n v="200"/>
    <x v="2"/>
    <x v="16"/>
  </r>
  <r>
    <x v="653"/>
    <x v="10"/>
    <x v="0"/>
    <x v="73"/>
    <s v="25-05-2024"/>
    <x v="1"/>
    <x v="0"/>
    <x v="3"/>
    <x v="3"/>
    <x v="1"/>
    <s v="No"/>
    <x v="0"/>
    <x v="0"/>
    <n v="0"/>
    <n v="0"/>
    <n v="200"/>
    <n v="0"/>
    <n v="0"/>
    <n v="200"/>
    <n v="0"/>
    <n v="200"/>
    <x v="0"/>
    <x v="16"/>
  </r>
  <r>
    <x v="654"/>
    <x v="77"/>
    <x v="0"/>
    <x v="67"/>
    <s v="25-05-2024"/>
    <x v="4"/>
    <x v="0"/>
    <x v="3"/>
    <x v="3"/>
    <x v="1"/>
    <s v="Yes"/>
    <x v="0"/>
    <x v="2"/>
    <n v="0"/>
    <n v="0"/>
    <n v="0"/>
    <n v="0"/>
    <n v="0"/>
    <n v="0"/>
    <n v="0"/>
    <n v="0"/>
    <x v="1"/>
    <x v="16"/>
  </r>
  <r>
    <x v="655"/>
    <x v="9"/>
    <x v="0"/>
    <x v="25"/>
    <s v="29-05-2024"/>
    <x v="1"/>
    <x v="0"/>
    <x v="3"/>
    <x v="3"/>
    <x v="1"/>
    <s v="Yes"/>
    <x v="0"/>
    <x v="0"/>
    <n v="0"/>
    <n v="0"/>
    <n v="0"/>
    <n v="0"/>
    <n v="0"/>
    <n v="0"/>
    <n v="0"/>
    <n v="0"/>
    <x v="0"/>
    <x v="16"/>
  </r>
  <r>
    <x v="656"/>
    <x v="68"/>
    <x v="1"/>
    <x v="58"/>
    <s v="29-05-2024"/>
    <x v="2"/>
    <x v="1"/>
    <x v="3"/>
    <x v="3"/>
    <x v="1"/>
    <s v="No"/>
    <x v="0"/>
    <x v="0"/>
    <n v="0"/>
    <n v="0"/>
    <n v="200"/>
    <n v="0"/>
    <n v="0"/>
    <n v="200"/>
    <n v="0"/>
    <n v="200"/>
    <x v="0"/>
    <x v="16"/>
  </r>
  <r>
    <x v="657"/>
    <x v="7"/>
    <x v="1"/>
    <x v="34"/>
    <s v="30-05-2024"/>
    <x v="1"/>
    <x v="0"/>
    <x v="7"/>
    <x v="7"/>
    <x v="5"/>
    <s v="No"/>
    <x v="0"/>
    <x v="0"/>
    <n v="19529"/>
    <n v="0"/>
    <n v="0"/>
    <n v="4950"/>
    <n v="1500"/>
    <n v="18029"/>
    <n v="0"/>
    <n v="13079"/>
    <x v="3"/>
    <x v="16"/>
  </r>
  <r>
    <x v="658"/>
    <x v="65"/>
    <x v="1"/>
    <x v="58"/>
    <s v="30-05-2024"/>
    <x v="1"/>
    <x v="0"/>
    <x v="3"/>
    <x v="3"/>
    <x v="1"/>
    <s v="No"/>
    <x v="0"/>
    <x v="0"/>
    <n v="0"/>
    <n v="0"/>
    <n v="200"/>
    <n v="0"/>
    <n v="0"/>
    <n v="200"/>
    <n v="0"/>
    <n v="200"/>
    <x v="3"/>
    <x v="16"/>
  </r>
  <r>
    <x v="659"/>
    <x v="30"/>
    <x v="1"/>
    <x v="32"/>
    <s v="30-05-2024"/>
    <x v="3"/>
    <x v="1"/>
    <x v="3"/>
    <x v="3"/>
    <x v="1"/>
    <s v="No"/>
    <x v="0"/>
    <x v="0"/>
    <n v="0"/>
    <n v="0"/>
    <n v="200"/>
    <n v="0"/>
    <n v="0"/>
    <n v="200"/>
    <n v="0"/>
    <n v="200"/>
    <x v="3"/>
    <x v="16"/>
  </r>
  <r>
    <x v="660"/>
    <x v="30"/>
    <x v="1"/>
    <x v="2"/>
    <d v="2024-03-06T00:00:00"/>
    <x v="1"/>
    <x v="0"/>
    <x v="3"/>
    <x v="3"/>
    <x v="1"/>
    <s v="Yes"/>
    <x v="0"/>
    <x v="0"/>
    <n v="0"/>
    <n v="0"/>
    <n v="0"/>
    <n v="0"/>
    <n v="0"/>
    <n v="0"/>
    <n v="0"/>
    <n v="0"/>
    <x v="3"/>
    <x v="17"/>
  </r>
  <r>
    <x v="661"/>
    <x v="79"/>
    <x v="1"/>
    <x v="58"/>
    <d v="2024-03-06T00:00:00"/>
    <x v="1"/>
    <x v="0"/>
    <x v="3"/>
    <x v="3"/>
    <x v="1"/>
    <s v="Yes"/>
    <x v="0"/>
    <x v="0"/>
    <n v="0"/>
    <n v="0"/>
    <n v="0"/>
    <n v="0"/>
    <n v="0"/>
    <n v="0"/>
    <n v="0"/>
    <n v="0"/>
    <x v="3"/>
    <x v="17"/>
  </r>
  <r>
    <x v="662"/>
    <x v="42"/>
    <x v="0"/>
    <x v="12"/>
    <d v="2024-04-06T00:00:00"/>
    <x v="2"/>
    <x v="0"/>
    <x v="1"/>
    <x v="1"/>
    <x v="1"/>
    <s v="No"/>
    <x v="1"/>
    <x v="0"/>
    <n v="0"/>
    <n v="150"/>
    <n v="200"/>
    <n v="0"/>
    <n v="140"/>
    <n v="210"/>
    <n v="0"/>
    <n v="210"/>
    <x v="1"/>
    <x v="17"/>
  </r>
  <r>
    <x v="663"/>
    <x v="9"/>
    <x v="0"/>
    <x v="41"/>
    <d v="2024-05-06T00:00:00"/>
    <x v="3"/>
    <x v="0"/>
    <x v="1"/>
    <x v="1"/>
    <x v="1"/>
    <s v="No"/>
    <x v="1"/>
    <x v="1"/>
    <n v="0"/>
    <n v="150"/>
    <n v="200"/>
    <n v="0"/>
    <n v="140"/>
    <n v="210"/>
    <n v="0"/>
    <n v="210"/>
    <x v="2"/>
    <x v="17"/>
  </r>
  <r>
    <x v="664"/>
    <x v="88"/>
    <x v="1"/>
    <x v="57"/>
    <d v="2024-06-06T00:00:00"/>
    <x v="1"/>
    <x v="0"/>
    <x v="1"/>
    <x v="1"/>
    <x v="1"/>
    <s v="No"/>
    <x v="1"/>
    <x v="0"/>
    <n v="0"/>
    <n v="150"/>
    <n v="200"/>
    <n v="0"/>
    <n v="0"/>
    <n v="350"/>
    <n v="0"/>
    <n v="350"/>
    <x v="2"/>
    <x v="17"/>
  </r>
  <r>
    <x v="665"/>
    <x v="88"/>
    <x v="1"/>
    <x v="11"/>
    <d v="2024-07-06T00:00:00"/>
    <x v="5"/>
    <x v="1"/>
    <x v="2"/>
    <x v="2"/>
    <x v="2"/>
    <s v="No"/>
    <x v="1"/>
    <x v="2"/>
    <n v="691"/>
    <n v="0"/>
    <n v="0"/>
    <n v="0"/>
    <n v="0"/>
    <n v="691"/>
    <n v="0"/>
    <n v="691"/>
    <x v="2"/>
    <x v="17"/>
  </r>
  <r>
    <x v="666"/>
    <x v="48"/>
    <x v="1"/>
    <x v="54"/>
    <d v="2024-07-06T00:00:00"/>
    <x v="1"/>
    <x v="0"/>
    <x v="3"/>
    <x v="3"/>
    <x v="1"/>
    <s v="No"/>
    <x v="0"/>
    <x v="0"/>
    <n v="0"/>
    <n v="0"/>
    <n v="200"/>
    <n v="0"/>
    <n v="80"/>
    <n v="120"/>
    <n v="0"/>
    <n v="120"/>
    <x v="1"/>
    <x v="17"/>
  </r>
  <r>
    <x v="667"/>
    <x v="33"/>
    <x v="0"/>
    <x v="63"/>
    <d v="2024-10-06T00:00:00"/>
    <x v="1"/>
    <x v="1"/>
    <x v="5"/>
    <x v="5"/>
    <x v="4"/>
    <s v="No"/>
    <x v="1"/>
    <x v="0"/>
    <n v="903"/>
    <n v="0"/>
    <n v="0"/>
    <n v="0"/>
    <n v="361.2"/>
    <n v="541.79999999999995"/>
    <n v="0"/>
    <n v="541.79999999999995"/>
    <x v="0"/>
    <x v="17"/>
  </r>
  <r>
    <x v="668"/>
    <x v="70"/>
    <x v="1"/>
    <x v="43"/>
    <d v="2024-11-06T00:00:00"/>
    <x v="0"/>
    <x v="0"/>
    <x v="0"/>
    <x v="0"/>
    <x v="0"/>
    <s v="No"/>
    <x v="1"/>
    <x v="0"/>
    <n v="416"/>
    <n v="0"/>
    <n v="0"/>
    <n v="0"/>
    <n v="0"/>
    <n v="416"/>
    <n v="0"/>
    <n v="416"/>
    <x v="1"/>
    <x v="17"/>
  </r>
  <r>
    <x v="669"/>
    <x v="75"/>
    <x v="1"/>
    <x v="3"/>
    <d v="2024-12-06T00:00:00"/>
    <x v="1"/>
    <x v="0"/>
    <x v="3"/>
    <x v="3"/>
    <x v="1"/>
    <s v="No"/>
    <x v="0"/>
    <x v="0"/>
    <n v="0"/>
    <n v="0"/>
    <n v="200"/>
    <n v="0"/>
    <n v="80"/>
    <n v="120"/>
    <n v="0"/>
    <n v="120"/>
    <x v="0"/>
    <x v="17"/>
  </r>
  <r>
    <x v="670"/>
    <x v="81"/>
    <x v="0"/>
    <x v="13"/>
    <s v="13-06-2024"/>
    <x v="4"/>
    <x v="1"/>
    <x v="1"/>
    <x v="1"/>
    <x v="1"/>
    <s v="No"/>
    <x v="1"/>
    <x v="0"/>
    <n v="0"/>
    <n v="150"/>
    <n v="200"/>
    <n v="0"/>
    <n v="0"/>
    <n v="350"/>
    <n v="0"/>
    <n v="350"/>
    <x v="1"/>
    <x v="17"/>
  </r>
  <r>
    <x v="671"/>
    <x v="49"/>
    <x v="1"/>
    <x v="53"/>
    <s v="13-06-2024"/>
    <x v="2"/>
    <x v="1"/>
    <x v="9"/>
    <x v="9"/>
    <x v="7"/>
    <s v="No"/>
    <x v="0"/>
    <x v="1"/>
    <n v="2193"/>
    <n v="0"/>
    <n v="0"/>
    <n v="700"/>
    <n v="0"/>
    <n v="2193"/>
    <n v="0"/>
    <n v="1493"/>
    <x v="3"/>
    <x v="17"/>
  </r>
  <r>
    <x v="672"/>
    <x v="56"/>
    <x v="0"/>
    <x v="13"/>
    <s v="14-06-2024"/>
    <x v="2"/>
    <x v="1"/>
    <x v="5"/>
    <x v="5"/>
    <x v="4"/>
    <s v="No"/>
    <x v="0"/>
    <x v="0"/>
    <n v="675"/>
    <n v="0"/>
    <n v="0"/>
    <n v="0"/>
    <n v="0"/>
    <n v="675"/>
    <n v="0"/>
    <n v="675"/>
    <x v="1"/>
    <x v="17"/>
  </r>
  <r>
    <x v="673"/>
    <x v="72"/>
    <x v="0"/>
    <x v="17"/>
    <s v="14-06-2024"/>
    <x v="7"/>
    <x v="0"/>
    <x v="3"/>
    <x v="3"/>
    <x v="1"/>
    <s v="Yes"/>
    <x v="0"/>
    <x v="0"/>
    <n v="0"/>
    <n v="0"/>
    <n v="0"/>
    <n v="0"/>
    <n v="0"/>
    <n v="0"/>
    <n v="0"/>
    <n v="0"/>
    <x v="1"/>
    <x v="17"/>
  </r>
  <r>
    <x v="674"/>
    <x v="73"/>
    <x v="1"/>
    <x v="59"/>
    <s v="17-06-2024"/>
    <x v="2"/>
    <x v="0"/>
    <x v="1"/>
    <x v="1"/>
    <x v="1"/>
    <s v="No"/>
    <x v="1"/>
    <x v="1"/>
    <n v="0"/>
    <n v="150"/>
    <n v="200"/>
    <n v="0"/>
    <n v="0"/>
    <n v="350"/>
    <n v="0"/>
    <n v="350"/>
    <x v="1"/>
    <x v="17"/>
  </r>
  <r>
    <x v="675"/>
    <x v="80"/>
    <x v="1"/>
    <x v="3"/>
    <s v="18-06-2024"/>
    <x v="1"/>
    <x v="0"/>
    <x v="6"/>
    <x v="6"/>
    <x v="4"/>
    <s v="Yes"/>
    <x v="1"/>
    <x v="0"/>
    <n v="24481"/>
    <n v="0"/>
    <n v="0"/>
    <n v="6350"/>
    <n v="1000"/>
    <n v="23481"/>
    <n v="0"/>
    <n v="17131"/>
    <x v="1"/>
    <x v="17"/>
  </r>
  <r>
    <x v="676"/>
    <x v="56"/>
    <x v="0"/>
    <x v="45"/>
    <s v="19-06-2024"/>
    <x v="7"/>
    <x v="0"/>
    <x v="3"/>
    <x v="3"/>
    <x v="1"/>
    <s v="No"/>
    <x v="0"/>
    <x v="0"/>
    <n v="0"/>
    <n v="0"/>
    <n v="200"/>
    <n v="0"/>
    <n v="80"/>
    <n v="120"/>
    <n v="0"/>
    <n v="120"/>
    <x v="3"/>
    <x v="17"/>
  </r>
  <r>
    <x v="677"/>
    <x v="38"/>
    <x v="0"/>
    <x v="38"/>
    <s v="20-06-2024"/>
    <x v="4"/>
    <x v="0"/>
    <x v="3"/>
    <x v="3"/>
    <x v="1"/>
    <s v="No"/>
    <x v="0"/>
    <x v="1"/>
    <n v="0"/>
    <n v="0"/>
    <n v="200"/>
    <n v="0"/>
    <n v="80"/>
    <n v="120"/>
    <n v="0"/>
    <n v="120"/>
    <x v="1"/>
    <x v="17"/>
  </r>
  <r>
    <x v="678"/>
    <x v="51"/>
    <x v="0"/>
    <x v="65"/>
    <s v="20-06-2024"/>
    <x v="1"/>
    <x v="0"/>
    <x v="4"/>
    <x v="4"/>
    <x v="3"/>
    <s v="Yes"/>
    <x v="1"/>
    <x v="0"/>
    <n v="1443"/>
    <n v="0"/>
    <n v="0"/>
    <n v="0"/>
    <n v="0"/>
    <n v="1443"/>
    <n v="0"/>
    <n v="1443"/>
    <x v="1"/>
    <x v="17"/>
  </r>
  <r>
    <x v="679"/>
    <x v="74"/>
    <x v="1"/>
    <x v="35"/>
    <s v="21-06-2024"/>
    <x v="2"/>
    <x v="0"/>
    <x v="0"/>
    <x v="0"/>
    <x v="0"/>
    <s v="No"/>
    <x v="1"/>
    <x v="2"/>
    <n v="622"/>
    <n v="0"/>
    <n v="0"/>
    <n v="0"/>
    <n v="248.8"/>
    <n v="373.2"/>
    <n v="0"/>
    <n v="373.2"/>
    <x v="3"/>
    <x v="17"/>
  </r>
  <r>
    <x v="680"/>
    <x v="25"/>
    <x v="1"/>
    <x v="23"/>
    <s v="21-06-2024"/>
    <x v="7"/>
    <x v="1"/>
    <x v="1"/>
    <x v="1"/>
    <x v="1"/>
    <s v="No"/>
    <x v="1"/>
    <x v="0"/>
    <n v="0"/>
    <n v="150"/>
    <n v="200"/>
    <n v="0"/>
    <n v="0"/>
    <n v="350"/>
    <n v="0"/>
    <n v="350"/>
    <x v="1"/>
    <x v="17"/>
  </r>
  <r>
    <x v="681"/>
    <x v="20"/>
    <x v="0"/>
    <x v="39"/>
    <s v="22-06-2024"/>
    <x v="5"/>
    <x v="0"/>
    <x v="3"/>
    <x v="3"/>
    <x v="1"/>
    <s v="No"/>
    <x v="0"/>
    <x v="0"/>
    <n v="0"/>
    <n v="0"/>
    <n v="200"/>
    <n v="0"/>
    <n v="0"/>
    <n v="200"/>
    <n v="0"/>
    <n v="200"/>
    <x v="2"/>
    <x v="17"/>
  </r>
  <r>
    <x v="682"/>
    <x v="62"/>
    <x v="1"/>
    <x v="6"/>
    <s v="22-06-2024"/>
    <x v="6"/>
    <x v="1"/>
    <x v="2"/>
    <x v="2"/>
    <x v="2"/>
    <s v="No"/>
    <x v="1"/>
    <x v="0"/>
    <n v="802"/>
    <n v="0"/>
    <n v="0"/>
    <n v="0"/>
    <n v="0"/>
    <n v="802"/>
    <n v="0"/>
    <n v="802"/>
    <x v="3"/>
    <x v="17"/>
  </r>
  <r>
    <x v="683"/>
    <x v="11"/>
    <x v="0"/>
    <x v="23"/>
    <s v="26-06-2024"/>
    <x v="1"/>
    <x v="1"/>
    <x v="0"/>
    <x v="0"/>
    <x v="0"/>
    <s v="Yes"/>
    <x v="1"/>
    <x v="0"/>
    <n v="477"/>
    <n v="0"/>
    <n v="0"/>
    <n v="0"/>
    <n v="0"/>
    <n v="477"/>
    <n v="0"/>
    <n v="477"/>
    <x v="1"/>
    <x v="17"/>
  </r>
  <r>
    <x v="684"/>
    <x v="75"/>
    <x v="1"/>
    <x v="35"/>
    <s v="28-06-2024"/>
    <x v="5"/>
    <x v="0"/>
    <x v="7"/>
    <x v="7"/>
    <x v="5"/>
    <s v="Yes"/>
    <x v="1"/>
    <x v="0"/>
    <n v="17068"/>
    <n v="0"/>
    <n v="0"/>
    <n v="4380"/>
    <n v="0"/>
    <n v="11247"/>
    <n v="5821"/>
    <n v="6867"/>
    <x v="3"/>
    <x v="17"/>
  </r>
  <r>
    <x v="685"/>
    <x v="40"/>
    <x v="0"/>
    <x v="40"/>
    <s v="28-06-2024"/>
    <x v="1"/>
    <x v="0"/>
    <x v="1"/>
    <x v="1"/>
    <x v="1"/>
    <s v="No"/>
    <x v="1"/>
    <x v="0"/>
    <n v="0"/>
    <n v="150"/>
    <n v="200"/>
    <n v="0"/>
    <n v="0"/>
    <n v="350"/>
    <n v="0"/>
    <n v="350"/>
    <x v="0"/>
    <x v="17"/>
  </r>
  <r>
    <x v="686"/>
    <x v="58"/>
    <x v="0"/>
    <x v="34"/>
    <s v="29-06-2024"/>
    <x v="3"/>
    <x v="0"/>
    <x v="3"/>
    <x v="3"/>
    <x v="1"/>
    <s v="No"/>
    <x v="0"/>
    <x v="0"/>
    <n v="0"/>
    <n v="0"/>
    <n v="200"/>
    <n v="0"/>
    <n v="0"/>
    <n v="200"/>
    <n v="0"/>
    <n v="200"/>
    <x v="3"/>
    <x v="17"/>
  </r>
  <r>
    <x v="687"/>
    <x v="60"/>
    <x v="0"/>
    <x v="1"/>
    <d v="2024-01-07T00:00:00"/>
    <x v="5"/>
    <x v="1"/>
    <x v="1"/>
    <x v="1"/>
    <x v="1"/>
    <s v="No"/>
    <x v="1"/>
    <x v="0"/>
    <n v="0"/>
    <n v="150"/>
    <n v="200"/>
    <n v="0"/>
    <n v="0"/>
    <n v="350"/>
    <n v="0"/>
    <n v="350"/>
    <x v="2"/>
    <x v="18"/>
  </r>
  <r>
    <x v="688"/>
    <x v="69"/>
    <x v="0"/>
    <x v="38"/>
    <d v="2024-01-07T00:00:00"/>
    <x v="1"/>
    <x v="1"/>
    <x v="1"/>
    <x v="1"/>
    <x v="1"/>
    <s v="Yes"/>
    <x v="1"/>
    <x v="0"/>
    <n v="0"/>
    <n v="150"/>
    <n v="0"/>
    <n v="0"/>
    <n v="0"/>
    <n v="150"/>
    <n v="0"/>
    <n v="150"/>
    <x v="3"/>
    <x v="18"/>
  </r>
  <r>
    <x v="689"/>
    <x v="68"/>
    <x v="1"/>
    <x v="7"/>
    <d v="2024-03-07T00:00:00"/>
    <x v="5"/>
    <x v="1"/>
    <x v="5"/>
    <x v="5"/>
    <x v="4"/>
    <s v="Yes"/>
    <x v="1"/>
    <x v="0"/>
    <n v="929"/>
    <n v="0"/>
    <n v="0"/>
    <n v="0"/>
    <n v="0"/>
    <n v="929"/>
    <n v="0"/>
    <n v="929"/>
    <x v="0"/>
    <x v="18"/>
  </r>
  <r>
    <x v="690"/>
    <x v="86"/>
    <x v="0"/>
    <x v="45"/>
    <d v="2024-03-07T00:00:00"/>
    <x v="8"/>
    <x v="0"/>
    <x v="1"/>
    <x v="1"/>
    <x v="1"/>
    <s v="No"/>
    <x v="1"/>
    <x v="0"/>
    <n v="0"/>
    <n v="150"/>
    <n v="200"/>
    <n v="0"/>
    <n v="0"/>
    <n v="350"/>
    <n v="0"/>
    <n v="350"/>
    <x v="3"/>
    <x v="18"/>
  </r>
  <r>
    <x v="691"/>
    <x v="36"/>
    <x v="0"/>
    <x v="14"/>
    <d v="2024-04-07T00:00:00"/>
    <x v="13"/>
    <x v="0"/>
    <x v="7"/>
    <x v="7"/>
    <x v="5"/>
    <s v="No"/>
    <x v="0"/>
    <x v="0"/>
    <n v="12324"/>
    <n v="0"/>
    <n v="0"/>
    <n v="2110"/>
    <n v="0"/>
    <n v="12324"/>
    <n v="0"/>
    <n v="10214"/>
    <x v="3"/>
    <x v="18"/>
  </r>
  <r>
    <x v="692"/>
    <x v="44"/>
    <x v="1"/>
    <x v="19"/>
    <d v="2024-05-07T00:00:00"/>
    <x v="5"/>
    <x v="0"/>
    <x v="1"/>
    <x v="1"/>
    <x v="1"/>
    <s v="No"/>
    <x v="1"/>
    <x v="1"/>
    <n v="0"/>
    <n v="150"/>
    <n v="200"/>
    <n v="0"/>
    <n v="0"/>
    <n v="350"/>
    <n v="0"/>
    <n v="350"/>
    <x v="1"/>
    <x v="18"/>
  </r>
  <r>
    <x v="693"/>
    <x v="44"/>
    <x v="1"/>
    <x v="24"/>
    <d v="2024-05-07T00:00:00"/>
    <x v="5"/>
    <x v="0"/>
    <x v="1"/>
    <x v="1"/>
    <x v="1"/>
    <s v="No"/>
    <x v="1"/>
    <x v="0"/>
    <n v="0"/>
    <n v="150"/>
    <n v="200"/>
    <n v="0"/>
    <n v="140"/>
    <n v="210"/>
    <n v="0"/>
    <n v="210"/>
    <x v="2"/>
    <x v="18"/>
  </r>
  <r>
    <x v="694"/>
    <x v="18"/>
    <x v="1"/>
    <x v="52"/>
    <d v="2024-08-07T00:00:00"/>
    <x v="2"/>
    <x v="0"/>
    <x v="1"/>
    <x v="1"/>
    <x v="1"/>
    <s v="Yes"/>
    <x v="1"/>
    <x v="0"/>
    <n v="0"/>
    <n v="150"/>
    <n v="0"/>
    <n v="0"/>
    <n v="60"/>
    <n v="90"/>
    <n v="0"/>
    <n v="90"/>
    <x v="1"/>
    <x v="18"/>
  </r>
  <r>
    <x v="695"/>
    <x v="28"/>
    <x v="0"/>
    <x v="33"/>
    <d v="2024-09-07T00:00:00"/>
    <x v="5"/>
    <x v="0"/>
    <x v="3"/>
    <x v="3"/>
    <x v="1"/>
    <s v="No"/>
    <x v="0"/>
    <x v="0"/>
    <n v="0"/>
    <n v="0"/>
    <n v="200"/>
    <n v="0"/>
    <n v="0"/>
    <n v="200"/>
    <n v="0"/>
    <n v="200"/>
    <x v="3"/>
    <x v="18"/>
  </r>
  <r>
    <x v="696"/>
    <x v="63"/>
    <x v="0"/>
    <x v="66"/>
    <d v="2024-10-07T00:00:00"/>
    <x v="0"/>
    <x v="0"/>
    <x v="8"/>
    <x v="8"/>
    <x v="6"/>
    <s v="Yes"/>
    <x v="1"/>
    <x v="0"/>
    <n v="3853"/>
    <n v="0"/>
    <n v="0"/>
    <n v="0"/>
    <n v="0"/>
    <n v="3853"/>
    <n v="0"/>
    <n v="3853"/>
    <x v="1"/>
    <x v="18"/>
  </r>
  <r>
    <x v="697"/>
    <x v="26"/>
    <x v="0"/>
    <x v="72"/>
    <d v="2024-11-07T00:00:00"/>
    <x v="5"/>
    <x v="0"/>
    <x v="6"/>
    <x v="6"/>
    <x v="4"/>
    <s v="No"/>
    <x v="1"/>
    <x v="1"/>
    <n v="20844"/>
    <n v="0"/>
    <n v="0"/>
    <n v="5760"/>
    <n v="0"/>
    <n v="20844"/>
    <n v="0"/>
    <n v="15084"/>
    <x v="2"/>
    <x v="18"/>
  </r>
  <r>
    <x v="698"/>
    <x v="49"/>
    <x v="1"/>
    <x v="58"/>
    <d v="2024-11-07T00:00:00"/>
    <x v="5"/>
    <x v="0"/>
    <x v="1"/>
    <x v="1"/>
    <x v="1"/>
    <s v="No"/>
    <x v="1"/>
    <x v="0"/>
    <n v="0"/>
    <n v="150"/>
    <n v="200"/>
    <n v="0"/>
    <n v="0"/>
    <n v="350"/>
    <n v="0"/>
    <n v="350"/>
    <x v="1"/>
    <x v="18"/>
  </r>
  <r>
    <x v="699"/>
    <x v="84"/>
    <x v="1"/>
    <x v="17"/>
    <d v="2024-12-07T00:00:00"/>
    <x v="2"/>
    <x v="0"/>
    <x v="3"/>
    <x v="3"/>
    <x v="1"/>
    <s v="No"/>
    <x v="0"/>
    <x v="0"/>
    <n v="0"/>
    <n v="0"/>
    <n v="200"/>
    <n v="0"/>
    <n v="0"/>
    <n v="200"/>
    <n v="0"/>
    <n v="200"/>
    <x v="3"/>
    <x v="18"/>
  </r>
  <r>
    <x v="700"/>
    <x v="17"/>
    <x v="1"/>
    <x v="62"/>
    <s v="15-07-2024"/>
    <x v="7"/>
    <x v="0"/>
    <x v="3"/>
    <x v="3"/>
    <x v="1"/>
    <s v="Yes"/>
    <x v="0"/>
    <x v="0"/>
    <n v="0"/>
    <n v="0"/>
    <n v="0"/>
    <n v="0"/>
    <n v="0"/>
    <n v="0"/>
    <n v="0"/>
    <n v="0"/>
    <x v="2"/>
    <x v="18"/>
  </r>
  <r>
    <x v="701"/>
    <x v="29"/>
    <x v="1"/>
    <x v="5"/>
    <s v="15-07-2024"/>
    <x v="4"/>
    <x v="0"/>
    <x v="1"/>
    <x v="1"/>
    <x v="1"/>
    <s v="No"/>
    <x v="1"/>
    <x v="1"/>
    <n v="0"/>
    <n v="150"/>
    <n v="200"/>
    <n v="0"/>
    <n v="0"/>
    <n v="350"/>
    <n v="0"/>
    <n v="350"/>
    <x v="3"/>
    <x v="18"/>
  </r>
  <r>
    <x v="702"/>
    <x v="53"/>
    <x v="1"/>
    <x v="63"/>
    <s v="16-07-2024"/>
    <x v="2"/>
    <x v="0"/>
    <x v="1"/>
    <x v="1"/>
    <x v="1"/>
    <s v="No"/>
    <x v="1"/>
    <x v="1"/>
    <n v="0"/>
    <n v="150"/>
    <n v="200"/>
    <n v="0"/>
    <n v="0"/>
    <n v="350"/>
    <n v="0"/>
    <n v="350"/>
    <x v="0"/>
    <x v="18"/>
  </r>
  <r>
    <x v="703"/>
    <x v="49"/>
    <x v="1"/>
    <x v="15"/>
    <s v="17-07-2024"/>
    <x v="1"/>
    <x v="0"/>
    <x v="1"/>
    <x v="1"/>
    <x v="1"/>
    <s v="Yes"/>
    <x v="1"/>
    <x v="1"/>
    <n v="0"/>
    <n v="150"/>
    <n v="0"/>
    <n v="0"/>
    <n v="0"/>
    <n v="150"/>
    <n v="0"/>
    <n v="150"/>
    <x v="1"/>
    <x v="18"/>
  </r>
  <r>
    <x v="704"/>
    <x v="80"/>
    <x v="1"/>
    <x v="43"/>
    <s v="19-07-2024"/>
    <x v="0"/>
    <x v="1"/>
    <x v="2"/>
    <x v="2"/>
    <x v="2"/>
    <s v="No"/>
    <x v="1"/>
    <x v="0"/>
    <n v="676"/>
    <n v="0"/>
    <n v="0"/>
    <n v="0"/>
    <n v="0"/>
    <n v="676"/>
    <n v="0"/>
    <n v="676"/>
    <x v="2"/>
    <x v="18"/>
  </r>
  <r>
    <x v="705"/>
    <x v="75"/>
    <x v="1"/>
    <x v="22"/>
    <s v="19-07-2024"/>
    <x v="2"/>
    <x v="1"/>
    <x v="3"/>
    <x v="3"/>
    <x v="1"/>
    <s v="No"/>
    <x v="0"/>
    <x v="0"/>
    <n v="0"/>
    <n v="0"/>
    <n v="200"/>
    <n v="0"/>
    <n v="80"/>
    <n v="120"/>
    <n v="0"/>
    <n v="120"/>
    <x v="3"/>
    <x v="18"/>
  </r>
  <r>
    <x v="706"/>
    <x v="43"/>
    <x v="0"/>
    <x v="3"/>
    <s v="20-07-2024"/>
    <x v="1"/>
    <x v="0"/>
    <x v="3"/>
    <x v="3"/>
    <x v="1"/>
    <s v="Yes"/>
    <x v="0"/>
    <x v="0"/>
    <n v="0"/>
    <n v="0"/>
    <n v="0"/>
    <n v="0"/>
    <n v="0"/>
    <n v="0"/>
    <n v="0"/>
    <n v="0"/>
    <x v="1"/>
    <x v="18"/>
  </r>
  <r>
    <x v="707"/>
    <x v="73"/>
    <x v="1"/>
    <x v="11"/>
    <s v="22-07-2024"/>
    <x v="1"/>
    <x v="0"/>
    <x v="7"/>
    <x v="7"/>
    <x v="5"/>
    <s v="No"/>
    <x v="1"/>
    <x v="0"/>
    <n v="12544"/>
    <n v="0"/>
    <n v="0"/>
    <n v="3020"/>
    <n v="750"/>
    <n v="11794"/>
    <n v="0"/>
    <n v="8774"/>
    <x v="1"/>
    <x v="18"/>
  </r>
  <r>
    <x v="708"/>
    <x v="66"/>
    <x v="1"/>
    <x v="10"/>
    <s v="22-07-2024"/>
    <x v="10"/>
    <x v="0"/>
    <x v="1"/>
    <x v="1"/>
    <x v="1"/>
    <s v="No"/>
    <x v="1"/>
    <x v="0"/>
    <n v="0"/>
    <n v="150"/>
    <n v="200"/>
    <n v="0"/>
    <n v="140"/>
    <n v="210"/>
    <n v="0"/>
    <n v="210"/>
    <x v="3"/>
    <x v="18"/>
  </r>
  <r>
    <x v="709"/>
    <x v="25"/>
    <x v="1"/>
    <x v="41"/>
    <s v="24-07-2024"/>
    <x v="2"/>
    <x v="1"/>
    <x v="1"/>
    <x v="1"/>
    <x v="1"/>
    <s v="No"/>
    <x v="1"/>
    <x v="1"/>
    <n v="0"/>
    <n v="150"/>
    <n v="200"/>
    <n v="0"/>
    <n v="0"/>
    <n v="350"/>
    <n v="0"/>
    <n v="350"/>
    <x v="0"/>
    <x v="18"/>
  </r>
  <r>
    <x v="710"/>
    <x v="65"/>
    <x v="1"/>
    <x v="13"/>
    <s v="25-07-2024"/>
    <x v="1"/>
    <x v="0"/>
    <x v="4"/>
    <x v="4"/>
    <x v="3"/>
    <s v="No"/>
    <x v="1"/>
    <x v="0"/>
    <n v="1478"/>
    <n v="0"/>
    <n v="0"/>
    <n v="0"/>
    <n v="100"/>
    <n v="1378"/>
    <n v="0"/>
    <n v="1378"/>
    <x v="1"/>
    <x v="18"/>
  </r>
  <r>
    <x v="711"/>
    <x v="69"/>
    <x v="0"/>
    <x v="70"/>
    <s v="25-07-2024"/>
    <x v="8"/>
    <x v="0"/>
    <x v="6"/>
    <x v="6"/>
    <x v="4"/>
    <s v="Yes"/>
    <x v="1"/>
    <x v="1"/>
    <n v="18259"/>
    <n v="0"/>
    <n v="0"/>
    <n v="5070"/>
    <n v="750"/>
    <n v="17509"/>
    <n v="0"/>
    <n v="12439"/>
    <x v="3"/>
    <x v="18"/>
  </r>
  <r>
    <x v="712"/>
    <x v="43"/>
    <x v="0"/>
    <x v="34"/>
    <s v="26-07-2024"/>
    <x v="1"/>
    <x v="0"/>
    <x v="1"/>
    <x v="1"/>
    <x v="1"/>
    <s v="No"/>
    <x v="1"/>
    <x v="0"/>
    <n v="0"/>
    <n v="150"/>
    <n v="200"/>
    <n v="0"/>
    <n v="0"/>
    <n v="350"/>
    <n v="0"/>
    <n v="350"/>
    <x v="3"/>
    <x v="18"/>
  </r>
  <r>
    <x v="713"/>
    <x v="52"/>
    <x v="1"/>
    <x v="0"/>
    <s v="26-07-2024"/>
    <x v="5"/>
    <x v="0"/>
    <x v="1"/>
    <x v="1"/>
    <x v="1"/>
    <s v="No"/>
    <x v="1"/>
    <x v="0"/>
    <n v="0"/>
    <n v="150"/>
    <n v="200"/>
    <n v="0"/>
    <n v="140"/>
    <n v="210"/>
    <n v="0"/>
    <n v="210"/>
    <x v="2"/>
    <x v="18"/>
  </r>
  <r>
    <x v="714"/>
    <x v="14"/>
    <x v="1"/>
    <x v="10"/>
    <s v="27-07-2024"/>
    <x v="2"/>
    <x v="0"/>
    <x v="1"/>
    <x v="1"/>
    <x v="1"/>
    <s v="Yes"/>
    <x v="1"/>
    <x v="1"/>
    <n v="0"/>
    <n v="150"/>
    <n v="0"/>
    <n v="0"/>
    <n v="60"/>
    <n v="90"/>
    <n v="0"/>
    <n v="90"/>
    <x v="0"/>
    <x v="18"/>
  </r>
  <r>
    <x v="715"/>
    <x v="54"/>
    <x v="1"/>
    <x v="23"/>
    <s v="27-07-2024"/>
    <x v="1"/>
    <x v="0"/>
    <x v="8"/>
    <x v="8"/>
    <x v="6"/>
    <s v="Yes"/>
    <x v="0"/>
    <x v="0"/>
    <n v="2833"/>
    <n v="0"/>
    <n v="0"/>
    <n v="0"/>
    <n v="200"/>
    <n v="2633"/>
    <n v="0"/>
    <n v="2633"/>
    <x v="1"/>
    <x v="18"/>
  </r>
  <r>
    <x v="716"/>
    <x v="86"/>
    <x v="0"/>
    <x v="52"/>
    <s v="28-07-2024"/>
    <x v="2"/>
    <x v="1"/>
    <x v="1"/>
    <x v="1"/>
    <x v="1"/>
    <s v="No"/>
    <x v="1"/>
    <x v="1"/>
    <n v="0"/>
    <n v="150"/>
    <n v="200"/>
    <n v="0"/>
    <n v="140"/>
    <n v="210"/>
    <n v="0"/>
    <n v="210"/>
    <x v="3"/>
    <x v="18"/>
  </r>
  <r>
    <x v="717"/>
    <x v="52"/>
    <x v="1"/>
    <x v="59"/>
    <d v="2024-02-08T00:00:00"/>
    <x v="1"/>
    <x v="0"/>
    <x v="1"/>
    <x v="1"/>
    <x v="1"/>
    <s v="No"/>
    <x v="1"/>
    <x v="0"/>
    <n v="0"/>
    <n v="150"/>
    <n v="200"/>
    <n v="0"/>
    <n v="0"/>
    <n v="350"/>
    <n v="0"/>
    <n v="350"/>
    <x v="3"/>
    <x v="19"/>
  </r>
  <r>
    <x v="718"/>
    <x v="81"/>
    <x v="0"/>
    <x v="17"/>
    <d v="2024-02-08T00:00:00"/>
    <x v="5"/>
    <x v="0"/>
    <x v="6"/>
    <x v="6"/>
    <x v="4"/>
    <s v="No"/>
    <x v="0"/>
    <x v="0"/>
    <n v="29029"/>
    <n v="0"/>
    <n v="0"/>
    <n v="8770"/>
    <n v="0"/>
    <n v="29029"/>
    <n v="0"/>
    <n v="20259"/>
    <x v="2"/>
    <x v="19"/>
  </r>
  <r>
    <x v="719"/>
    <x v="16"/>
    <x v="0"/>
    <x v="2"/>
    <d v="2024-03-08T00:00:00"/>
    <x v="2"/>
    <x v="0"/>
    <x v="7"/>
    <x v="7"/>
    <x v="5"/>
    <s v="No"/>
    <x v="0"/>
    <x v="0"/>
    <n v="17551"/>
    <n v="0"/>
    <n v="0"/>
    <n v="2660"/>
    <n v="0"/>
    <n v="12795"/>
    <n v="4756"/>
    <n v="10135"/>
    <x v="3"/>
    <x v="19"/>
  </r>
  <r>
    <x v="720"/>
    <x v="5"/>
    <x v="1"/>
    <x v="38"/>
    <d v="2024-03-08T00:00:00"/>
    <x v="2"/>
    <x v="0"/>
    <x v="3"/>
    <x v="3"/>
    <x v="1"/>
    <s v="No"/>
    <x v="0"/>
    <x v="0"/>
    <n v="0"/>
    <n v="0"/>
    <n v="200"/>
    <n v="0"/>
    <n v="0"/>
    <n v="200"/>
    <n v="0"/>
    <n v="200"/>
    <x v="2"/>
    <x v="19"/>
  </r>
  <r>
    <x v="721"/>
    <x v="10"/>
    <x v="0"/>
    <x v="65"/>
    <d v="2024-04-08T00:00:00"/>
    <x v="2"/>
    <x v="0"/>
    <x v="1"/>
    <x v="1"/>
    <x v="1"/>
    <s v="Yes"/>
    <x v="1"/>
    <x v="1"/>
    <n v="0"/>
    <n v="150"/>
    <n v="0"/>
    <n v="0"/>
    <n v="60"/>
    <n v="90"/>
    <n v="0"/>
    <n v="90"/>
    <x v="1"/>
    <x v="19"/>
  </r>
  <r>
    <x v="722"/>
    <x v="88"/>
    <x v="1"/>
    <x v="19"/>
    <d v="2024-05-08T00:00:00"/>
    <x v="5"/>
    <x v="0"/>
    <x v="7"/>
    <x v="7"/>
    <x v="5"/>
    <s v="No"/>
    <x v="1"/>
    <x v="1"/>
    <n v="16334"/>
    <n v="0"/>
    <n v="0"/>
    <n v="2670"/>
    <n v="0"/>
    <n v="12645"/>
    <n v="3689"/>
    <n v="9975"/>
    <x v="2"/>
    <x v="19"/>
  </r>
  <r>
    <x v="723"/>
    <x v="17"/>
    <x v="1"/>
    <x v="22"/>
    <d v="2024-05-08T00:00:00"/>
    <x v="2"/>
    <x v="0"/>
    <x v="3"/>
    <x v="3"/>
    <x v="1"/>
    <s v="No"/>
    <x v="0"/>
    <x v="0"/>
    <n v="0"/>
    <n v="0"/>
    <n v="200"/>
    <n v="0"/>
    <n v="80"/>
    <n v="120"/>
    <n v="0"/>
    <n v="120"/>
    <x v="3"/>
    <x v="19"/>
  </r>
  <r>
    <x v="724"/>
    <x v="50"/>
    <x v="1"/>
    <x v="36"/>
    <d v="2024-06-08T00:00:00"/>
    <x v="5"/>
    <x v="1"/>
    <x v="3"/>
    <x v="3"/>
    <x v="1"/>
    <s v="No"/>
    <x v="0"/>
    <x v="0"/>
    <n v="0"/>
    <n v="0"/>
    <n v="200"/>
    <n v="0"/>
    <n v="0"/>
    <n v="200"/>
    <n v="0"/>
    <n v="200"/>
    <x v="1"/>
    <x v="19"/>
  </r>
  <r>
    <x v="725"/>
    <x v="82"/>
    <x v="1"/>
    <x v="29"/>
    <d v="2024-06-08T00:00:00"/>
    <x v="5"/>
    <x v="1"/>
    <x v="1"/>
    <x v="1"/>
    <x v="1"/>
    <s v="Yes"/>
    <x v="1"/>
    <x v="0"/>
    <n v="0"/>
    <n v="150"/>
    <n v="0"/>
    <n v="0"/>
    <n v="0"/>
    <n v="150"/>
    <n v="0"/>
    <n v="150"/>
    <x v="1"/>
    <x v="19"/>
  </r>
  <r>
    <x v="726"/>
    <x v="63"/>
    <x v="0"/>
    <x v="51"/>
    <d v="2024-07-08T00:00:00"/>
    <x v="12"/>
    <x v="0"/>
    <x v="1"/>
    <x v="1"/>
    <x v="1"/>
    <s v="No"/>
    <x v="1"/>
    <x v="0"/>
    <n v="0"/>
    <n v="150"/>
    <n v="200"/>
    <n v="0"/>
    <n v="0"/>
    <n v="350"/>
    <n v="0"/>
    <n v="350"/>
    <x v="2"/>
    <x v="19"/>
  </r>
  <r>
    <x v="727"/>
    <x v="7"/>
    <x v="1"/>
    <x v="49"/>
    <d v="2024-07-08T00:00:00"/>
    <x v="2"/>
    <x v="0"/>
    <x v="3"/>
    <x v="3"/>
    <x v="1"/>
    <s v="No"/>
    <x v="0"/>
    <x v="0"/>
    <n v="0"/>
    <n v="0"/>
    <n v="200"/>
    <n v="0"/>
    <n v="0"/>
    <n v="200"/>
    <n v="0"/>
    <n v="200"/>
    <x v="3"/>
    <x v="19"/>
  </r>
  <r>
    <x v="728"/>
    <x v="51"/>
    <x v="0"/>
    <x v="59"/>
    <d v="2024-08-08T00:00:00"/>
    <x v="1"/>
    <x v="0"/>
    <x v="3"/>
    <x v="3"/>
    <x v="1"/>
    <s v="No"/>
    <x v="0"/>
    <x v="0"/>
    <n v="0"/>
    <n v="0"/>
    <n v="200"/>
    <n v="0"/>
    <n v="0"/>
    <n v="200"/>
    <n v="0"/>
    <n v="200"/>
    <x v="3"/>
    <x v="19"/>
  </r>
  <r>
    <x v="729"/>
    <x v="80"/>
    <x v="1"/>
    <x v="53"/>
    <d v="2024-08-08T00:00:00"/>
    <x v="7"/>
    <x v="0"/>
    <x v="3"/>
    <x v="3"/>
    <x v="1"/>
    <s v="No"/>
    <x v="0"/>
    <x v="0"/>
    <n v="0"/>
    <n v="0"/>
    <n v="200"/>
    <n v="0"/>
    <n v="0"/>
    <n v="200"/>
    <n v="0"/>
    <n v="200"/>
    <x v="3"/>
    <x v="19"/>
  </r>
  <r>
    <x v="730"/>
    <x v="20"/>
    <x v="0"/>
    <x v="21"/>
    <d v="2024-08-08T00:00:00"/>
    <x v="5"/>
    <x v="0"/>
    <x v="3"/>
    <x v="3"/>
    <x v="1"/>
    <s v="No"/>
    <x v="0"/>
    <x v="0"/>
    <n v="0"/>
    <n v="0"/>
    <n v="200"/>
    <n v="0"/>
    <n v="80"/>
    <n v="120"/>
    <n v="0"/>
    <n v="120"/>
    <x v="1"/>
    <x v="19"/>
  </r>
  <r>
    <x v="731"/>
    <x v="22"/>
    <x v="1"/>
    <x v="51"/>
    <d v="2024-12-08T00:00:00"/>
    <x v="2"/>
    <x v="0"/>
    <x v="1"/>
    <x v="1"/>
    <x v="1"/>
    <s v="No"/>
    <x v="1"/>
    <x v="0"/>
    <n v="0"/>
    <n v="150"/>
    <n v="200"/>
    <n v="0"/>
    <n v="0"/>
    <n v="350"/>
    <n v="0"/>
    <n v="350"/>
    <x v="2"/>
    <x v="19"/>
  </r>
  <r>
    <x v="732"/>
    <x v="25"/>
    <x v="1"/>
    <x v="50"/>
    <d v="2024-12-08T00:00:00"/>
    <x v="5"/>
    <x v="0"/>
    <x v="1"/>
    <x v="1"/>
    <x v="1"/>
    <s v="Yes"/>
    <x v="1"/>
    <x v="1"/>
    <n v="0"/>
    <n v="150"/>
    <n v="0"/>
    <n v="0"/>
    <n v="60"/>
    <n v="90"/>
    <n v="0"/>
    <n v="90"/>
    <x v="0"/>
    <x v="19"/>
  </r>
  <r>
    <x v="733"/>
    <x v="33"/>
    <x v="0"/>
    <x v="40"/>
    <s v="15-08-2024"/>
    <x v="1"/>
    <x v="1"/>
    <x v="3"/>
    <x v="3"/>
    <x v="1"/>
    <s v="No"/>
    <x v="0"/>
    <x v="0"/>
    <n v="0"/>
    <n v="0"/>
    <n v="200"/>
    <n v="0"/>
    <n v="0"/>
    <n v="200"/>
    <n v="0"/>
    <n v="200"/>
    <x v="0"/>
    <x v="19"/>
  </r>
  <r>
    <x v="734"/>
    <x v="51"/>
    <x v="0"/>
    <x v="4"/>
    <s v="17-08-2024"/>
    <x v="5"/>
    <x v="0"/>
    <x v="3"/>
    <x v="3"/>
    <x v="1"/>
    <s v="No"/>
    <x v="0"/>
    <x v="0"/>
    <n v="0"/>
    <n v="0"/>
    <n v="200"/>
    <n v="0"/>
    <n v="80"/>
    <n v="120"/>
    <n v="0"/>
    <n v="120"/>
    <x v="0"/>
    <x v="19"/>
  </r>
  <r>
    <x v="735"/>
    <x v="39"/>
    <x v="0"/>
    <x v="16"/>
    <s v="17-08-2024"/>
    <x v="7"/>
    <x v="1"/>
    <x v="3"/>
    <x v="3"/>
    <x v="1"/>
    <s v="No"/>
    <x v="0"/>
    <x v="0"/>
    <n v="0"/>
    <n v="0"/>
    <n v="200"/>
    <n v="0"/>
    <n v="0"/>
    <n v="200"/>
    <n v="0"/>
    <n v="200"/>
    <x v="1"/>
    <x v="19"/>
  </r>
  <r>
    <x v="736"/>
    <x v="89"/>
    <x v="1"/>
    <x v="65"/>
    <s v="19-08-2024"/>
    <x v="2"/>
    <x v="1"/>
    <x v="0"/>
    <x v="0"/>
    <x v="0"/>
    <s v="No"/>
    <x v="0"/>
    <x v="0"/>
    <n v="593"/>
    <n v="0"/>
    <n v="0"/>
    <n v="0"/>
    <n v="0"/>
    <n v="593"/>
    <n v="0"/>
    <n v="593"/>
    <x v="1"/>
    <x v="19"/>
  </r>
  <r>
    <x v="737"/>
    <x v="23"/>
    <x v="1"/>
    <x v="1"/>
    <s v="20-08-2024"/>
    <x v="2"/>
    <x v="0"/>
    <x v="3"/>
    <x v="3"/>
    <x v="1"/>
    <s v="No"/>
    <x v="0"/>
    <x v="0"/>
    <n v="0"/>
    <n v="0"/>
    <n v="200"/>
    <n v="0"/>
    <n v="0"/>
    <n v="200"/>
    <n v="0"/>
    <n v="200"/>
    <x v="2"/>
    <x v="19"/>
  </r>
  <r>
    <x v="738"/>
    <x v="58"/>
    <x v="0"/>
    <x v="52"/>
    <s v="22-08-2024"/>
    <x v="1"/>
    <x v="1"/>
    <x v="5"/>
    <x v="5"/>
    <x v="4"/>
    <s v="No"/>
    <x v="0"/>
    <x v="0"/>
    <n v="808"/>
    <n v="0"/>
    <n v="0"/>
    <n v="0"/>
    <n v="0"/>
    <n v="808"/>
    <n v="0"/>
    <n v="808"/>
    <x v="0"/>
    <x v="19"/>
  </r>
  <r>
    <x v="739"/>
    <x v="67"/>
    <x v="1"/>
    <x v="14"/>
    <s v="22-08-2024"/>
    <x v="5"/>
    <x v="0"/>
    <x v="1"/>
    <x v="1"/>
    <x v="1"/>
    <s v="Yes"/>
    <x v="1"/>
    <x v="0"/>
    <n v="0"/>
    <n v="150"/>
    <n v="0"/>
    <n v="0"/>
    <n v="50"/>
    <n v="100"/>
    <n v="0"/>
    <n v="100"/>
    <x v="1"/>
    <x v="19"/>
  </r>
  <r>
    <x v="740"/>
    <x v="40"/>
    <x v="0"/>
    <x v="53"/>
    <s v="23-08-2024"/>
    <x v="5"/>
    <x v="1"/>
    <x v="3"/>
    <x v="3"/>
    <x v="1"/>
    <s v="No"/>
    <x v="0"/>
    <x v="0"/>
    <n v="0"/>
    <n v="0"/>
    <n v="200"/>
    <n v="0"/>
    <n v="50"/>
    <n v="150"/>
    <n v="0"/>
    <n v="150"/>
    <x v="1"/>
    <x v="19"/>
  </r>
  <r>
    <x v="741"/>
    <x v="19"/>
    <x v="1"/>
    <x v="41"/>
    <s v="23-08-2024"/>
    <x v="2"/>
    <x v="1"/>
    <x v="9"/>
    <x v="9"/>
    <x v="7"/>
    <s v="No"/>
    <x v="1"/>
    <x v="1"/>
    <n v="2605"/>
    <n v="0"/>
    <n v="0"/>
    <n v="760"/>
    <n v="0"/>
    <n v="2605"/>
    <n v="0"/>
    <n v="1845"/>
    <x v="1"/>
    <x v="19"/>
  </r>
  <r>
    <x v="742"/>
    <x v="25"/>
    <x v="1"/>
    <x v="4"/>
    <s v="23-08-2024"/>
    <x v="1"/>
    <x v="1"/>
    <x v="0"/>
    <x v="0"/>
    <x v="0"/>
    <s v="No"/>
    <x v="1"/>
    <x v="0"/>
    <n v="524"/>
    <n v="0"/>
    <n v="0"/>
    <n v="0"/>
    <n v="0"/>
    <n v="524"/>
    <n v="0"/>
    <n v="524"/>
    <x v="3"/>
    <x v="19"/>
  </r>
  <r>
    <x v="743"/>
    <x v="82"/>
    <x v="1"/>
    <x v="2"/>
    <s v="24-08-2024"/>
    <x v="5"/>
    <x v="0"/>
    <x v="3"/>
    <x v="3"/>
    <x v="1"/>
    <s v="No"/>
    <x v="0"/>
    <x v="0"/>
    <n v="0"/>
    <n v="0"/>
    <n v="200"/>
    <n v="0"/>
    <n v="0"/>
    <n v="200"/>
    <n v="0"/>
    <n v="200"/>
    <x v="3"/>
    <x v="19"/>
  </r>
  <r>
    <x v="744"/>
    <x v="85"/>
    <x v="0"/>
    <x v="74"/>
    <s v="26-08-2024"/>
    <x v="5"/>
    <x v="0"/>
    <x v="1"/>
    <x v="1"/>
    <x v="1"/>
    <s v="Yes"/>
    <x v="1"/>
    <x v="0"/>
    <n v="0"/>
    <n v="150"/>
    <n v="0"/>
    <n v="0"/>
    <n v="0"/>
    <n v="150"/>
    <n v="0"/>
    <n v="150"/>
    <x v="2"/>
    <x v="19"/>
  </r>
  <r>
    <x v="745"/>
    <x v="24"/>
    <x v="0"/>
    <x v="10"/>
    <s v="26-08-2024"/>
    <x v="1"/>
    <x v="0"/>
    <x v="3"/>
    <x v="3"/>
    <x v="1"/>
    <s v="No"/>
    <x v="0"/>
    <x v="0"/>
    <n v="0"/>
    <n v="0"/>
    <n v="200"/>
    <n v="0"/>
    <n v="0"/>
    <n v="200"/>
    <n v="0"/>
    <n v="200"/>
    <x v="3"/>
    <x v="19"/>
  </r>
  <r>
    <x v="746"/>
    <x v="5"/>
    <x v="1"/>
    <x v="7"/>
    <s v="26-08-2024"/>
    <x v="1"/>
    <x v="0"/>
    <x v="3"/>
    <x v="3"/>
    <x v="1"/>
    <s v="Yes"/>
    <x v="0"/>
    <x v="0"/>
    <n v="0"/>
    <n v="0"/>
    <n v="0"/>
    <n v="0"/>
    <n v="0"/>
    <n v="0"/>
    <n v="0"/>
    <n v="0"/>
    <x v="0"/>
    <x v="19"/>
  </r>
  <r>
    <x v="747"/>
    <x v="88"/>
    <x v="1"/>
    <x v="2"/>
    <s v="27-08-2024"/>
    <x v="1"/>
    <x v="1"/>
    <x v="2"/>
    <x v="2"/>
    <x v="2"/>
    <s v="No"/>
    <x v="0"/>
    <x v="1"/>
    <n v="966"/>
    <n v="0"/>
    <n v="0"/>
    <n v="0"/>
    <n v="0"/>
    <n v="966"/>
    <n v="0"/>
    <n v="966"/>
    <x v="3"/>
    <x v="19"/>
  </r>
  <r>
    <x v="748"/>
    <x v="43"/>
    <x v="0"/>
    <x v="43"/>
    <s v="27-08-2024"/>
    <x v="1"/>
    <x v="1"/>
    <x v="3"/>
    <x v="3"/>
    <x v="1"/>
    <s v="No"/>
    <x v="0"/>
    <x v="0"/>
    <n v="0"/>
    <n v="0"/>
    <n v="200"/>
    <n v="0"/>
    <n v="80"/>
    <n v="120"/>
    <n v="0"/>
    <n v="120"/>
    <x v="1"/>
    <x v="19"/>
  </r>
  <r>
    <x v="749"/>
    <x v="65"/>
    <x v="1"/>
    <x v="11"/>
    <s v="28-08-2024"/>
    <x v="1"/>
    <x v="0"/>
    <x v="3"/>
    <x v="3"/>
    <x v="1"/>
    <s v="Yes"/>
    <x v="0"/>
    <x v="0"/>
    <n v="0"/>
    <n v="0"/>
    <n v="0"/>
    <n v="0"/>
    <n v="0"/>
    <n v="0"/>
    <n v="0"/>
    <n v="0"/>
    <x v="3"/>
    <x v="19"/>
  </r>
  <r>
    <x v="750"/>
    <x v="44"/>
    <x v="1"/>
    <x v="18"/>
    <s v="28-08-2024"/>
    <x v="1"/>
    <x v="0"/>
    <x v="1"/>
    <x v="1"/>
    <x v="1"/>
    <s v="No"/>
    <x v="1"/>
    <x v="0"/>
    <n v="0"/>
    <n v="150"/>
    <n v="200"/>
    <n v="0"/>
    <n v="0"/>
    <n v="350"/>
    <n v="0"/>
    <n v="350"/>
    <x v="2"/>
    <x v="19"/>
  </r>
  <r>
    <x v="751"/>
    <x v="69"/>
    <x v="0"/>
    <x v="53"/>
    <s v="30-08-2024"/>
    <x v="5"/>
    <x v="0"/>
    <x v="1"/>
    <x v="1"/>
    <x v="1"/>
    <s v="No"/>
    <x v="1"/>
    <x v="0"/>
    <n v="0"/>
    <n v="150"/>
    <n v="200"/>
    <n v="0"/>
    <n v="0"/>
    <n v="350"/>
    <n v="0"/>
    <n v="350"/>
    <x v="1"/>
    <x v="19"/>
  </r>
  <r>
    <x v="752"/>
    <x v="57"/>
    <x v="1"/>
    <x v="58"/>
    <s v="30-08-2024"/>
    <x v="1"/>
    <x v="1"/>
    <x v="1"/>
    <x v="1"/>
    <x v="1"/>
    <s v="No"/>
    <x v="1"/>
    <x v="0"/>
    <n v="0"/>
    <n v="150"/>
    <n v="200"/>
    <n v="0"/>
    <n v="0"/>
    <n v="350"/>
    <n v="0"/>
    <n v="350"/>
    <x v="3"/>
    <x v="19"/>
  </r>
  <r>
    <x v="753"/>
    <x v="29"/>
    <x v="1"/>
    <x v="21"/>
    <s v="31-08-2024"/>
    <x v="4"/>
    <x v="0"/>
    <x v="3"/>
    <x v="3"/>
    <x v="1"/>
    <s v="No"/>
    <x v="0"/>
    <x v="1"/>
    <n v="0"/>
    <n v="0"/>
    <n v="200"/>
    <n v="0"/>
    <n v="50"/>
    <n v="150"/>
    <n v="0"/>
    <n v="150"/>
    <x v="2"/>
    <x v="19"/>
  </r>
  <r>
    <x v="754"/>
    <x v="53"/>
    <x v="1"/>
    <x v="32"/>
    <s v="31-08-2024"/>
    <x v="9"/>
    <x v="0"/>
    <x v="6"/>
    <x v="6"/>
    <x v="4"/>
    <s v="No"/>
    <x v="1"/>
    <x v="0"/>
    <n v="28808"/>
    <n v="0"/>
    <n v="0"/>
    <n v="6360"/>
    <n v="0"/>
    <n v="19607"/>
    <n v="9201"/>
    <n v="13247"/>
    <x v="1"/>
    <x v="19"/>
  </r>
  <r>
    <x v="755"/>
    <x v="88"/>
    <x v="1"/>
    <x v="23"/>
    <d v="2024-02-09T00:00:00"/>
    <x v="6"/>
    <x v="0"/>
    <x v="1"/>
    <x v="1"/>
    <x v="1"/>
    <s v="No"/>
    <x v="1"/>
    <x v="2"/>
    <n v="0"/>
    <n v="150"/>
    <n v="200"/>
    <n v="0"/>
    <n v="140"/>
    <n v="210"/>
    <n v="0"/>
    <n v="210"/>
    <x v="3"/>
    <x v="20"/>
  </r>
  <r>
    <x v="756"/>
    <x v="60"/>
    <x v="0"/>
    <x v="19"/>
    <d v="2024-03-09T00:00:00"/>
    <x v="5"/>
    <x v="1"/>
    <x v="9"/>
    <x v="9"/>
    <x v="7"/>
    <s v="No"/>
    <x v="1"/>
    <x v="0"/>
    <n v="2437"/>
    <n v="0"/>
    <n v="0"/>
    <n v="890"/>
    <n v="0"/>
    <n v="2437"/>
    <n v="0"/>
    <n v="1547"/>
    <x v="2"/>
    <x v="20"/>
  </r>
  <r>
    <x v="757"/>
    <x v="63"/>
    <x v="0"/>
    <x v="53"/>
    <d v="2024-03-09T00:00:00"/>
    <x v="2"/>
    <x v="0"/>
    <x v="7"/>
    <x v="7"/>
    <x v="5"/>
    <s v="No"/>
    <x v="0"/>
    <x v="0"/>
    <n v="17468"/>
    <n v="0"/>
    <n v="0"/>
    <n v="3300"/>
    <n v="0"/>
    <n v="10577"/>
    <n v="6891"/>
    <n v="7277"/>
    <x v="3"/>
    <x v="20"/>
  </r>
  <r>
    <x v="758"/>
    <x v="69"/>
    <x v="0"/>
    <x v="24"/>
    <d v="2024-04-09T00:00:00"/>
    <x v="2"/>
    <x v="1"/>
    <x v="0"/>
    <x v="0"/>
    <x v="0"/>
    <s v="No"/>
    <x v="0"/>
    <x v="0"/>
    <n v="655"/>
    <n v="0"/>
    <n v="0"/>
    <n v="0"/>
    <n v="262"/>
    <n v="393"/>
    <n v="0"/>
    <n v="393"/>
    <x v="0"/>
    <x v="20"/>
  </r>
  <r>
    <x v="759"/>
    <x v="10"/>
    <x v="0"/>
    <x v="44"/>
    <d v="2024-04-09T00:00:00"/>
    <x v="0"/>
    <x v="0"/>
    <x v="1"/>
    <x v="1"/>
    <x v="1"/>
    <s v="No"/>
    <x v="1"/>
    <x v="2"/>
    <n v="0"/>
    <n v="150"/>
    <n v="200"/>
    <n v="0"/>
    <n v="0"/>
    <n v="350"/>
    <n v="0"/>
    <n v="350"/>
    <x v="2"/>
    <x v="20"/>
  </r>
  <r>
    <x v="760"/>
    <x v="29"/>
    <x v="1"/>
    <x v="61"/>
    <d v="2024-04-09T00:00:00"/>
    <x v="2"/>
    <x v="0"/>
    <x v="3"/>
    <x v="3"/>
    <x v="1"/>
    <s v="No"/>
    <x v="0"/>
    <x v="0"/>
    <n v="0"/>
    <n v="0"/>
    <n v="200"/>
    <n v="0"/>
    <n v="50"/>
    <n v="150"/>
    <n v="0"/>
    <n v="150"/>
    <x v="3"/>
    <x v="20"/>
  </r>
  <r>
    <x v="761"/>
    <x v="24"/>
    <x v="0"/>
    <x v="43"/>
    <d v="2024-05-09T00:00:00"/>
    <x v="5"/>
    <x v="1"/>
    <x v="1"/>
    <x v="1"/>
    <x v="1"/>
    <s v="No"/>
    <x v="1"/>
    <x v="1"/>
    <n v="0"/>
    <n v="150"/>
    <n v="200"/>
    <n v="0"/>
    <n v="0"/>
    <n v="350"/>
    <n v="0"/>
    <n v="350"/>
    <x v="3"/>
    <x v="20"/>
  </r>
  <r>
    <x v="762"/>
    <x v="50"/>
    <x v="1"/>
    <x v="72"/>
    <d v="2024-05-09T00:00:00"/>
    <x v="5"/>
    <x v="1"/>
    <x v="3"/>
    <x v="3"/>
    <x v="1"/>
    <s v="No"/>
    <x v="0"/>
    <x v="0"/>
    <n v="0"/>
    <n v="0"/>
    <n v="200"/>
    <n v="0"/>
    <n v="80"/>
    <n v="120"/>
    <n v="0"/>
    <n v="120"/>
    <x v="1"/>
    <x v="20"/>
  </r>
  <r>
    <x v="763"/>
    <x v="30"/>
    <x v="1"/>
    <x v="55"/>
    <d v="2024-06-09T00:00:00"/>
    <x v="2"/>
    <x v="0"/>
    <x v="0"/>
    <x v="0"/>
    <x v="0"/>
    <s v="No"/>
    <x v="1"/>
    <x v="0"/>
    <n v="626"/>
    <n v="0"/>
    <n v="0"/>
    <n v="0"/>
    <n v="0"/>
    <n v="626"/>
    <n v="0"/>
    <n v="626"/>
    <x v="1"/>
    <x v="20"/>
  </r>
  <r>
    <x v="764"/>
    <x v="71"/>
    <x v="0"/>
    <x v="47"/>
    <d v="2024-07-09T00:00:00"/>
    <x v="6"/>
    <x v="1"/>
    <x v="3"/>
    <x v="3"/>
    <x v="1"/>
    <s v="No"/>
    <x v="0"/>
    <x v="0"/>
    <n v="0"/>
    <n v="0"/>
    <n v="200"/>
    <n v="0"/>
    <n v="0"/>
    <n v="200"/>
    <n v="0"/>
    <n v="200"/>
    <x v="3"/>
    <x v="20"/>
  </r>
  <r>
    <x v="765"/>
    <x v="30"/>
    <x v="1"/>
    <x v="30"/>
    <d v="2024-10-09T00:00:00"/>
    <x v="2"/>
    <x v="0"/>
    <x v="1"/>
    <x v="1"/>
    <x v="1"/>
    <s v="No"/>
    <x v="1"/>
    <x v="0"/>
    <n v="0"/>
    <n v="150"/>
    <n v="200"/>
    <n v="0"/>
    <n v="0"/>
    <n v="350"/>
    <n v="0"/>
    <n v="350"/>
    <x v="3"/>
    <x v="20"/>
  </r>
  <r>
    <x v="766"/>
    <x v="56"/>
    <x v="0"/>
    <x v="66"/>
    <d v="2024-11-09T00:00:00"/>
    <x v="2"/>
    <x v="0"/>
    <x v="7"/>
    <x v="7"/>
    <x v="5"/>
    <s v="No"/>
    <x v="0"/>
    <x v="2"/>
    <n v="15721"/>
    <n v="0"/>
    <n v="0"/>
    <n v="4420"/>
    <n v="0"/>
    <n v="13249"/>
    <n v="2472"/>
    <n v="8829"/>
    <x v="1"/>
    <x v="20"/>
  </r>
  <r>
    <x v="767"/>
    <x v="38"/>
    <x v="0"/>
    <x v="23"/>
    <d v="2024-12-09T00:00:00"/>
    <x v="2"/>
    <x v="1"/>
    <x v="0"/>
    <x v="0"/>
    <x v="0"/>
    <s v="No"/>
    <x v="1"/>
    <x v="0"/>
    <n v="434"/>
    <n v="0"/>
    <n v="0"/>
    <n v="0"/>
    <n v="173.6"/>
    <n v="260.39999999999998"/>
    <n v="0"/>
    <n v="260.39999999999998"/>
    <x v="1"/>
    <x v="20"/>
  </r>
  <r>
    <x v="768"/>
    <x v="35"/>
    <x v="0"/>
    <x v="19"/>
    <s v="14-09-2024"/>
    <x v="5"/>
    <x v="0"/>
    <x v="3"/>
    <x v="3"/>
    <x v="1"/>
    <s v="No"/>
    <x v="0"/>
    <x v="0"/>
    <n v="0"/>
    <n v="0"/>
    <n v="200"/>
    <n v="0"/>
    <n v="80"/>
    <n v="120"/>
    <n v="0"/>
    <n v="120"/>
    <x v="1"/>
    <x v="20"/>
  </r>
  <r>
    <x v="769"/>
    <x v="50"/>
    <x v="1"/>
    <x v="30"/>
    <s v="14-09-2024"/>
    <x v="2"/>
    <x v="0"/>
    <x v="3"/>
    <x v="3"/>
    <x v="1"/>
    <s v="Yes"/>
    <x v="0"/>
    <x v="0"/>
    <n v="0"/>
    <n v="0"/>
    <n v="0"/>
    <n v="0"/>
    <n v="0"/>
    <n v="0"/>
    <n v="0"/>
    <n v="0"/>
    <x v="2"/>
    <x v="20"/>
  </r>
  <r>
    <x v="770"/>
    <x v="84"/>
    <x v="1"/>
    <x v="36"/>
    <s v="17-09-2024"/>
    <x v="1"/>
    <x v="0"/>
    <x v="3"/>
    <x v="3"/>
    <x v="1"/>
    <s v="No"/>
    <x v="0"/>
    <x v="0"/>
    <n v="0"/>
    <n v="0"/>
    <n v="200"/>
    <n v="0"/>
    <n v="0"/>
    <n v="200"/>
    <n v="0"/>
    <n v="200"/>
    <x v="1"/>
    <x v="20"/>
  </r>
  <r>
    <x v="771"/>
    <x v="39"/>
    <x v="0"/>
    <x v="61"/>
    <s v="17-09-2024"/>
    <x v="1"/>
    <x v="0"/>
    <x v="3"/>
    <x v="3"/>
    <x v="1"/>
    <s v="No"/>
    <x v="0"/>
    <x v="0"/>
    <n v="0"/>
    <n v="0"/>
    <n v="200"/>
    <n v="0"/>
    <n v="80"/>
    <n v="120"/>
    <n v="0"/>
    <n v="120"/>
    <x v="0"/>
    <x v="20"/>
  </r>
  <r>
    <x v="772"/>
    <x v="55"/>
    <x v="1"/>
    <x v="71"/>
    <s v="18-09-2024"/>
    <x v="1"/>
    <x v="0"/>
    <x v="3"/>
    <x v="3"/>
    <x v="1"/>
    <s v="No"/>
    <x v="0"/>
    <x v="0"/>
    <n v="0"/>
    <n v="0"/>
    <n v="200"/>
    <n v="0"/>
    <n v="50"/>
    <n v="150"/>
    <n v="0"/>
    <n v="150"/>
    <x v="1"/>
    <x v="20"/>
  </r>
  <r>
    <x v="773"/>
    <x v="40"/>
    <x v="0"/>
    <x v="28"/>
    <s v="18-09-2024"/>
    <x v="1"/>
    <x v="0"/>
    <x v="1"/>
    <x v="1"/>
    <x v="1"/>
    <s v="No"/>
    <x v="1"/>
    <x v="0"/>
    <n v="0"/>
    <n v="150"/>
    <n v="200"/>
    <n v="0"/>
    <n v="0"/>
    <n v="350"/>
    <n v="0"/>
    <n v="350"/>
    <x v="3"/>
    <x v="20"/>
  </r>
  <r>
    <x v="774"/>
    <x v="51"/>
    <x v="0"/>
    <x v="67"/>
    <s v="19-09-2024"/>
    <x v="1"/>
    <x v="0"/>
    <x v="1"/>
    <x v="1"/>
    <x v="1"/>
    <s v="No"/>
    <x v="1"/>
    <x v="1"/>
    <n v="0"/>
    <n v="150"/>
    <n v="200"/>
    <n v="0"/>
    <n v="0"/>
    <n v="350"/>
    <n v="0"/>
    <n v="350"/>
    <x v="1"/>
    <x v="20"/>
  </r>
  <r>
    <x v="775"/>
    <x v="89"/>
    <x v="1"/>
    <x v="33"/>
    <s v="19-09-2024"/>
    <x v="9"/>
    <x v="1"/>
    <x v="3"/>
    <x v="3"/>
    <x v="1"/>
    <s v="Yes"/>
    <x v="0"/>
    <x v="0"/>
    <n v="0"/>
    <n v="0"/>
    <n v="0"/>
    <n v="0"/>
    <n v="0"/>
    <n v="0"/>
    <n v="0"/>
    <n v="0"/>
    <x v="0"/>
    <x v="20"/>
  </r>
  <r>
    <x v="776"/>
    <x v="20"/>
    <x v="0"/>
    <x v="46"/>
    <s v="20-09-2024"/>
    <x v="2"/>
    <x v="0"/>
    <x v="3"/>
    <x v="3"/>
    <x v="1"/>
    <s v="No"/>
    <x v="0"/>
    <x v="0"/>
    <n v="0"/>
    <n v="0"/>
    <n v="200"/>
    <n v="0"/>
    <n v="0"/>
    <n v="200"/>
    <n v="0"/>
    <n v="200"/>
    <x v="0"/>
    <x v="20"/>
  </r>
  <r>
    <x v="777"/>
    <x v="87"/>
    <x v="1"/>
    <x v="51"/>
    <s v="20-09-2024"/>
    <x v="5"/>
    <x v="0"/>
    <x v="3"/>
    <x v="3"/>
    <x v="1"/>
    <s v="No"/>
    <x v="0"/>
    <x v="0"/>
    <n v="0"/>
    <n v="0"/>
    <n v="200"/>
    <n v="0"/>
    <n v="0"/>
    <n v="200"/>
    <n v="0"/>
    <n v="200"/>
    <x v="1"/>
    <x v="20"/>
  </r>
  <r>
    <x v="778"/>
    <x v="6"/>
    <x v="0"/>
    <x v="16"/>
    <s v="21-09-2024"/>
    <x v="1"/>
    <x v="1"/>
    <x v="1"/>
    <x v="1"/>
    <x v="1"/>
    <s v="Yes"/>
    <x v="1"/>
    <x v="0"/>
    <n v="0"/>
    <n v="150"/>
    <n v="0"/>
    <n v="0"/>
    <n v="0"/>
    <n v="150"/>
    <n v="0"/>
    <n v="150"/>
    <x v="3"/>
    <x v="20"/>
  </r>
  <r>
    <x v="779"/>
    <x v="68"/>
    <x v="1"/>
    <x v="13"/>
    <s v="21-09-2024"/>
    <x v="0"/>
    <x v="1"/>
    <x v="9"/>
    <x v="9"/>
    <x v="7"/>
    <s v="Yes"/>
    <x v="1"/>
    <x v="0"/>
    <n v="3361"/>
    <n v="0"/>
    <n v="0"/>
    <n v="1120"/>
    <n v="0"/>
    <n v="3361"/>
    <n v="0"/>
    <n v="2241"/>
    <x v="2"/>
    <x v="20"/>
  </r>
  <r>
    <x v="780"/>
    <x v="31"/>
    <x v="0"/>
    <x v="22"/>
    <s v="23-09-2024"/>
    <x v="5"/>
    <x v="1"/>
    <x v="1"/>
    <x v="1"/>
    <x v="1"/>
    <s v="No"/>
    <x v="1"/>
    <x v="0"/>
    <n v="0"/>
    <n v="150"/>
    <n v="200"/>
    <n v="0"/>
    <n v="140"/>
    <n v="210"/>
    <n v="0"/>
    <n v="210"/>
    <x v="3"/>
    <x v="20"/>
  </r>
  <r>
    <x v="781"/>
    <x v="48"/>
    <x v="1"/>
    <x v="18"/>
    <s v="26-09-2024"/>
    <x v="2"/>
    <x v="0"/>
    <x v="3"/>
    <x v="3"/>
    <x v="1"/>
    <s v="No"/>
    <x v="0"/>
    <x v="2"/>
    <n v="0"/>
    <n v="0"/>
    <n v="200"/>
    <n v="0"/>
    <n v="0"/>
    <n v="200"/>
    <n v="0"/>
    <n v="200"/>
    <x v="3"/>
    <x v="20"/>
  </r>
  <r>
    <x v="782"/>
    <x v="45"/>
    <x v="0"/>
    <x v="60"/>
    <d v="2024-01-10T00:00:00"/>
    <x v="2"/>
    <x v="0"/>
    <x v="1"/>
    <x v="1"/>
    <x v="1"/>
    <s v="No"/>
    <x v="1"/>
    <x v="0"/>
    <n v="0"/>
    <n v="150"/>
    <n v="200"/>
    <n v="0"/>
    <n v="0"/>
    <n v="350"/>
    <n v="0"/>
    <n v="350"/>
    <x v="1"/>
    <x v="21"/>
  </r>
  <r>
    <x v="783"/>
    <x v="55"/>
    <x v="1"/>
    <x v="40"/>
    <d v="2024-02-10T00:00:00"/>
    <x v="2"/>
    <x v="0"/>
    <x v="1"/>
    <x v="1"/>
    <x v="1"/>
    <s v="No"/>
    <x v="1"/>
    <x v="0"/>
    <n v="0"/>
    <n v="150"/>
    <n v="200"/>
    <n v="0"/>
    <n v="140"/>
    <n v="210"/>
    <n v="0"/>
    <n v="210"/>
    <x v="3"/>
    <x v="21"/>
  </r>
  <r>
    <x v="784"/>
    <x v="11"/>
    <x v="0"/>
    <x v="21"/>
    <d v="2024-03-10T00:00:00"/>
    <x v="11"/>
    <x v="0"/>
    <x v="1"/>
    <x v="1"/>
    <x v="1"/>
    <s v="No"/>
    <x v="1"/>
    <x v="0"/>
    <n v="0"/>
    <n v="150"/>
    <n v="200"/>
    <n v="0"/>
    <n v="0"/>
    <n v="350"/>
    <n v="0"/>
    <n v="350"/>
    <x v="3"/>
    <x v="21"/>
  </r>
  <r>
    <x v="785"/>
    <x v="57"/>
    <x v="1"/>
    <x v="25"/>
    <d v="2024-03-10T00:00:00"/>
    <x v="1"/>
    <x v="1"/>
    <x v="5"/>
    <x v="5"/>
    <x v="4"/>
    <s v="No"/>
    <x v="1"/>
    <x v="0"/>
    <n v="795"/>
    <n v="0"/>
    <n v="0"/>
    <n v="0"/>
    <n v="50"/>
    <n v="745"/>
    <n v="0"/>
    <n v="745"/>
    <x v="3"/>
    <x v="21"/>
  </r>
  <r>
    <x v="786"/>
    <x v="42"/>
    <x v="0"/>
    <x v="4"/>
    <d v="2024-03-10T00:00:00"/>
    <x v="7"/>
    <x v="1"/>
    <x v="3"/>
    <x v="3"/>
    <x v="1"/>
    <s v="Yes"/>
    <x v="0"/>
    <x v="0"/>
    <n v="0"/>
    <n v="0"/>
    <n v="0"/>
    <n v="0"/>
    <n v="0"/>
    <n v="0"/>
    <n v="0"/>
    <n v="0"/>
    <x v="1"/>
    <x v="21"/>
  </r>
  <r>
    <x v="787"/>
    <x v="27"/>
    <x v="0"/>
    <x v="24"/>
    <d v="2024-04-10T00:00:00"/>
    <x v="2"/>
    <x v="1"/>
    <x v="3"/>
    <x v="3"/>
    <x v="1"/>
    <s v="No"/>
    <x v="0"/>
    <x v="0"/>
    <n v="0"/>
    <n v="0"/>
    <n v="200"/>
    <n v="0"/>
    <n v="80"/>
    <n v="120"/>
    <n v="0"/>
    <n v="120"/>
    <x v="3"/>
    <x v="21"/>
  </r>
  <r>
    <x v="788"/>
    <x v="79"/>
    <x v="1"/>
    <x v="54"/>
    <d v="2024-07-10T00:00:00"/>
    <x v="1"/>
    <x v="0"/>
    <x v="3"/>
    <x v="3"/>
    <x v="1"/>
    <s v="Yes"/>
    <x v="0"/>
    <x v="0"/>
    <n v="0"/>
    <n v="0"/>
    <n v="0"/>
    <n v="0"/>
    <n v="0"/>
    <n v="0"/>
    <n v="0"/>
    <n v="0"/>
    <x v="3"/>
    <x v="21"/>
  </r>
  <r>
    <x v="789"/>
    <x v="55"/>
    <x v="1"/>
    <x v="22"/>
    <d v="2024-07-10T00:00:00"/>
    <x v="7"/>
    <x v="1"/>
    <x v="3"/>
    <x v="3"/>
    <x v="1"/>
    <s v="No"/>
    <x v="0"/>
    <x v="2"/>
    <n v="0"/>
    <n v="0"/>
    <n v="200"/>
    <n v="0"/>
    <n v="80"/>
    <n v="120"/>
    <n v="0"/>
    <n v="120"/>
    <x v="3"/>
    <x v="21"/>
  </r>
  <r>
    <x v="790"/>
    <x v="78"/>
    <x v="0"/>
    <x v="71"/>
    <d v="2024-08-10T00:00:00"/>
    <x v="2"/>
    <x v="1"/>
    <x v="2"/>
    <x v="2"/>
    <x v="2"/>
    <s v="No"/>
    <x v="1"/>
    <x v="0"/>
    <n v="1139"/>
    <n v="0"/>
    <n v="0"/>
    <n v="0"/>
    <n v="0"/>
    <n v="1139"/>
    <n v="0"/>
    <n v="1139"/>
    <x v="3"/>
    <x v="21"/>
  </r>
  <r>
    <x v="791"/>
    <x v="53"/>
    <x v="1"/>
    <x v="46"/>
    <d v="2024-09-10T00:00:00"/>
    <x v="2"/>
    <x v="0"/>
    <x v="1"/>
    <x v="1"/>
    <x v="1"/>
    <s v="No"/>
    <x v="1"/>
    <x v="0"/>
    <n v="0"/>
    <n v="150"/>
    <n v="200"/>
    <n v="0"/>
    <n v="140"/>
    <n v="210"/>
    <n v="0"/>
    <n v="210"/>
    <x v="2"/>
    <x v="21"/>
  </r>
  <r>
    <x v="792"/>
    <x v="32"/>
    <x v="1"/>
    <x v="38"/>
    <d v="2024-09-10T00:00:00"/>
    <x v="1"/>
    <x v="0"/>
    <x v="6"/>
    <x v="6"/>
    <x v="4"/>
    <s v="No"/>
    <x v="1"/>
    <x v="0"/>
    <n v="19657"/>
    <n v="0"/>
    <n v="0"/>
    <n v="6190"/>
    <n v="500"/>
    <n v="19157"/>
    <n v="0"/>
    <n v="12967"/>
    <x v="0"/>
    <x v="21"/>
  </r>
  <r>
    <x v="793"/>
    <x v="89"/>
    <x v="1"/>
    <x v="41"/>
    <d v="2024-10-10T00:00:00"/>
    <x v="1"/>
    <x v="0"/>
    <x v="6"/>
    <x v="6"/>
    <x v="4"/>
    <s v="No"/>
    <x v="1"/>
    <x v="0"/>
    <n v="22519"/>
    <n v="0"/>
    <n v="0"/>
    <n v="4740"/>
    <n v="0"/>
    <n v="22519"/>
    <n v="0"/>
    <n v="17779"/>
    <x v="3"/>
    <x v="21"/>
  </r>
  <r>
    <x v="794"/>
    <x v="85"/>
    <x v="0"/>
    <x v="27"/>
    <d v="2024-11-10T00:00:00"/>
    <x v="1"/>
    <x v="0"/>
    <x v="1"/>
    <x v="1"/>
    <x v="1"/>
    <s v="No"/>
    <x v="1"/>
    <x v="0"/>
    <n v="0"/>
    <n v="150"/>
    <n v="200"/>
    <n v="0"/>
    <n v="0"/>
    <n v="350"/>
    <n v="0"/>
    <n v="350"/>
    <x v="1"/>
    <x v="21"/>
  </r>
  <r>
    <x v="795"/>
    <x v="85"/>
    <x v="0"/>
    <x v="16"/>
    <d v="2024-11-10T00:00:00"/>
    <x v="2"/>
    <x v="0"/>
    <x v="3"/>
    <x v="3"/>
    <x v="1"/>
    <s v="No"/>
    <x v="0"/>
    <x v="0"/>
    <n v="0"/>
    <n v="0"/>
    <n v="200"/>
    <n v="0"/>
    <n v="0"/>
    <n v="200"/>
    <n v="0"/>
    <n v="200"/>
    <x v="2"/>
    <x v="21"/>
  </r>
  <r>
    <x v="796"/>
    <x v="78"/>
    <x v="0"/>
    <x v="50"/>
    <d v="2024-11-10T00:00:00"/>
    <x v="0"/>
    <x v="0"/>
    <x v="7"/>
    <x v="7"/>
    <x v="5"/>
    <s v="No"/>
    <x v="0"/>
    <x v="2"/>
    <n v="14377"/>
    <n v="0"/>
    <n v="0"/>
    <n v="3090"/>
    <n v="1000"/>
    <n v="13377"/>
    <n v="0"/>
    <n v="10287"/>
    <x v="3"/>
    <x v="21"/>
  </r>
  <r>
    <x v="797"/>
    <x v="76"/>
    <x v="1"/>
    <x v="68"/>
    <s v="15-10-2024"/>
    <x v="5"/>
    <x v="1"/>
    <x v="3"/>
    <x v="3"/>
    <x v="1"/>
    <s v="No"/>
    <x v="0"/>
    <x v="0"/>
    <n v="0"/>
    <n v="0"/>
    <n v="200"/>
    <n v="0"/>
    <n v="0"/>
    <n v="200"/>
    <n v="0"/>
    <n v="200"/>
    <x v="1"/>
    <x v="21"/>
  </r>
  <r>
    <x v="798"/>
    <x v="37"/>
    <x v="0"/>
    <x v="5"/>
    <s v="17-10-2024"/>
    <x v="7"/>
    <x v="0"/>
    <x v="6"/>
    <x v="6"/>
    <x v="4"/>
    <s v="No"/>
    <x v="0"/>
    <x v="1"/>
    <n v="20766"/>
    <n v="0"/>
    <n v="0"/>
    <n v="5010"/>
    <n v="0"/>
    <n v="20766"/>
    <n v="0"/>
    <n v="15756"/>
    <x v="3"/>
    <x v="21"/>
  </r>
  <r>
    <x v="799"/>
    <x v="64"/>
    <x v="1"/>
    <x v="65"/>
    <s v="18-10-2024"/>
    <x v="5"/>
    <x v="1"/>
    <x v="1"/>
    <x v="1"/>
    <x v="1"/>
    <s v="No"/>
    <x v="1"/>
    <x v="1"/>
    <n v="0"/>
    <n v="150"/>
    <n v="200"/>
    <n v="0"/>
    <n v="140"/>
    <n v="210"/>
    <n v="0"/>
    <n v="210"/>
    <x v="1"/>
    <x v="21"/>
  </r>
  <r>
    <x v="800"/>
    <x v="30"/>
    <x v="1"/>
    <x v="37"/>
    <s v="18-10-2024"/>
    <x v="1"/>
    <x v="1"/>
    <x v="9"/>
    <x v="9"/>
    <x v="7"/>
    <s v="Yes"/>
    <x v="0"/>
    <x v="0"/>
    <n v="2666"/>
    <n v="0"/>
    <n v="0"/>
    <n v="960"/>
    <n v="0"/>
    <n v="2666"/>
    <n v="0"/>
    <n v="1706"/>
    <x v="2"/>
    <x v="21"/>
  </r>
  <r>
    <x v="801"/>
    <x v="54"/>
    <x v="1"/>
    <x v="47"/>
    <s v="21-10-2024"/>
    <x v="13"/>
    <x v="1"/>
    <x v="1"/>
    <x v="1"/>
    <x v="1"/>
    <s v="No"/>
    <x v="1"/>
    <x v="0"/>
    <n v="0"/>
    <n v="150"/>
    <n v="200"/>
    <n v="0"/>
    <n v="0"/>
    <n v="350"/>
    <n v="0"/>
    <n v="350"/>
    <x v="3"/>
    <x v="21"/>
  </r>
  <r>
    <x v="802"/>
    <x v="64"/>
    <x v="1"/>
    <x v="7"/>
    <s v="22-10-2024"/>
    <x v="1"/>
    <x v="1"/>
    <x v="1"/>
    <x v="1"/>
    <x v="1"/>
    <s v="No"/>
    <x v="1"/>
    <x v="0"/>
    <n v="0"/>
    <n v="150"/>
    <n v="200"/>
    <n v="0"/>
    <n v="0"/>
    <n v="350"/>
    <n v="0"/>
    <n v="350"/>
    <x v="3"/>
    <x v="21"/>
  </r>
  <r>
    <x v="803"/>
    <x v="86"/>
    <x v="0"/>
    <x v="8"/>
    <s v="22-10-2024"/>
    <x v="2"/>
    <x v="0"/>
    <x v="7"/>
    <x v="7"/>
    <x v="5"/>
    <s v="Yes"/>
    <x v="0"/>
    <x v="0"/>
    <n v="17467"/>
    <n v="0"/>
    <n v="0"/>
    <n v="4700"/>
    <n v="1000"/>
    <n v="16467"/>
    <n v="0"/>
    <n v="11767"/>
    <x v="1"/>
    <x v="21"/>
  </r>
  <r>
    <x v="804"/>
    <x v="64"/>
    <x v="1"/>
    <x v="38"/>
    <s v="23-10-2024"/>
    <x v="5"/>
    <x v="1"/>
    <x v="3"/>
    <x v="3"/>
    <x v="1"/>
    <s v="No"/>
    <x v="0"/>
    <x v="0"/>
    <n v="0"/>
    <n v="0"/>
    <n v="200"/>
    <n v="0"/>
    <n v="0"/>
    <n v="200"/>
    <n v="0"/>
    <n v="200"/>
    <x v="3"/>
    <x v="21"/>
  </r>
  <r>
    <x v="805"/>
    <x v="19"/>
    <x v="1"/>
    <x v="34"/>
    <s v="23-10-2024"/>
    <x v="5"/>
    <x v="1"/>
    <x v="3"/>
    <x v="3"/>
    <x v="1"/>
    <s v="No"/>
    <x v="0"/>
    <x v="1"/>
    <n v="0"/>
    <n v="0"/>
    <n v="200"/>
    <n v="0"/>
    <n v="80"/>
    <n v="120"/>
    <n v="0"/>
    <n v="120"/>
    <x v="1"/>
    <x v="21"/>
  </r>
  <r>
    <x v="806"/>
    <x v="20"/>
    <x v="0"/>
    <x v="22"/>
    <s v="23-10-2024"/>
    <x v="5"/>
    <x v="1"/>
    <x v="3"/>
    <x v="3"/>
    <x v="1"/>
    <s v="No"/>
    <x v="0"/>
    <x v="0"/>
    <n v="0"/>
    <n v="0"/>
    <n v="200"/>
    <n v="0"/>
    <n v="80"/>
    <n v="120"/>
    <n v="0"/>
    <n v="120"/>
    <x v="1"/>
    <x v="21"/>
  </r>
  <r>
    <x v="807"/>
    <x v="72"/>
    <x v="0"/>
    <x v="37"/>
    <s v="25-10-2024"/>
    <x v="4"/>
    <x v="0"/>
    <x v="1"/>
    <x v="1"/>
    <x v="1"/>
    <s v="No"/>
    <x v="1"/>
    <x v="0"/>
    <n v="0"/>
    <n v="150"/>
    <n v="200"/>
    <n v="0"/>
    <n v="0"/>
    <n v="350"/>
    <n v="0"/>
    <n v="350"/>
    <x v="2"/>
    <x v="21"/>
  </r>
  <r>
    <x v="808"/>
    <x v="30"/>
    <x v="1"/>
    <x v="0"/>
    <s v="25-10-2024"/>
    <x v="5"/>
    <x v="0"/>
    <x v="4"/>
    <x v="4"/>
    <x v="3"/>
    <s v="Yes"/>
    <x v="1"/>
    <x v="0"/>
    <n v="1309"/>
    <n v="0"/>
    <n v="0"/>
    <n v="0"/>
    <n v="500"/>
    <n v="809"/>
    <n v="0"/>
    <n v="809"/>
    <x v="1"/>
    <x v="21"/>
  </r>
  <r>
    <x v="809"/>
    <x v="74"/>
    <x v="1"/>
    <x v="35"/>
    <s v="26-10-2024"/>
    <x v="13"/>
    <x v="0"/>
    <x v="6"/>
    <x v="6"/>
    <x v="4"/>
    <s v="Yes"/>
    <x v="1"/>
    <x v="0"/>
    <n v="19379"/>
    <n v="0"/>
    <n v="0"/>
    <n v="5310"/>
    <n v="0"/>
    <n v="19379"/>
    <n v="0"/>
    <n v="14069"/>
    <x v="3"/>
    <x v="21"/>
  </r>
  <r>
    <x v="810"/>
    <x v="79"/>
    <x v="1"/>
    <x v="4"/>
    <s v="26-10-2024"/>
    <x v="2"/>
    <x v="1"/>
    <x v="1"/>
    <x v="1"/>
    <x v="1"/>
    <s v="No"/>
    <x v="1"/>
    <x v="1"/>
    <n v="0"/>
    <n v="150"/>
    <n v="200"/>
    <n v="0"/>
    <n v="0"/>
    <n v="350"/>
    <n v="0"/>
    <n v="350"/>
    <x v="2"/>
    <x v="21"/>
  </r>
  <r>
    <x v="811"/>
    <x v="49"/>
    <x v="1"/>
    <x v="10"/>
    <s v="29-10-2024"/>
    <x v="5"/>
    <x v="0"/>
    <x v="3"/>
    <x v="3"/>
    <x v="1"/>
    <s v="Yes"/>
    <x v="0"/>
    <x v="1"/>
    <n v="0"/>
    <n v="0"/>
    <n v="0"/>
    <n v="0"/>
    <n v="0"/>
    <n v="0"/>
    <n v="0"/>
    <n v="0"/>
    <x v="3"/>
    <x v="21"/>
  </r>
  <r>
    <x v="812"/>
    <x v="38"/>
    <x v="0"/>
    <x v="27"/>
    <s v="30-10-2024"/>
    <x v="2"/>
    <x v="1"/>
    <x v="5"/>
    <x v="5"/>
    <x v="4"/>
    <s v="No"/>
    <x v="1"/>
    <x v="1"/>
    <n v="975"/>
    <n v="0"/>
    <n v="0"/>
    <n v="0"/>
    <n v="0"/>
    <n v="975"/>
    <n v="0"/>
    <n v="975"/>
    <x v="1"/>
    <x v="21"/>
  </r>
  <r>
    <x v="813"/>
    <x v="24"/>
    <x v="0"/>
    <x v="5"/>
    <s v="31-10-2024"/>
    <x v="5"/>
    <x v="0"/>
    <x v="3"/>
    <x v="3"/>
    <x v="1"/>
    <s v="No"/>
    <x v="0"/>
    <x v="1"/>
    <n v="0"/>
    <n v="0"/>
    <n v="200"/>
    <n v="0"/>
    <n v="0"/>
    <n v="200"/>
    <n v="0"/>
    <n v="200"/>
    <x v="3"/>
    <x v="21"/>
  </r>
  <r>
    <x v="814"/>
    <x v="12"/>
    <x v="1"/>
    <x v="40"/>
    <s v="31-10-2024"/>
    <x v="3"/>
    <x v="0"/>
    <x v="6"/>
    <x v="6"/>
    <x v="4"/>
    <s v="Yes"/>
    <x v="1"/>
    <x v="0"/>
    <n v="25672"/>
    <n v="0"/>
    <n v="0"/>
    <n v="5310"/>
    <n v="0"/>
    <n v="25672"/>
    <n v="0"/>
    <n v="20362"/>
    <x v="3"/>
    <x v="21"/>
  </r>
  <r>
    <x v="815"/>
    <x v="63"/>
    <x v="0"/>
    <x v="60"/>
    <s v="31-10-2024"/>
    <x v="2"/>
    <x v="0"/>
    <x v="1"/>
    <x v="1"/>
    <x v="1"/>
    <s v="No"/>
    <x v="1"/>
    <x v="0"/>
    <n v="0"/>
    <n v="150"/>
    <n v="200"/>
    <n v="0"/>
    <n v="0"/>
    <n v="350"/>
    <n v="0"/>
    <n v="350"/>
    <x v="2"/>
    <x v="21"/>
  </r>
  <r>
    <x v="816"/>
    <x v="14"/>
    <x v="1"/>
    <x v="46"/>
    <d v="2024-01-11T00:00:00"/>
    <x v="5"/>
    <x v="1"/>
    <x v="3"/>
    <x v="3"/>
    <x v="1"/>
    <s v="No"/>
    <x v="0"/>
    <x v="0"/>
    <n v="0"/>
    <n v="0"/>
    <n v="200"/>
    <n v="0"/>
    <n v="0"/>
    <n v="200"/>
    <n v="0"/>
    <n v="200"/>
    <x v="1"/>
    <x v="22"/>
  </r>
  <r>
    <x v="817"/>
    <x v="85"/>
    <x v="0"/>
    <x v="40"/>
    <d v="2024-04-11T00:00:00"/>
    <x v="1"/>
    <x v="1"/>
    <x v="2"/>
    <x v="2"/>
    <x v="2"/>
    <s v="No"/>
    <x v="1"/>
    <x v="0"/>
    <n v="979"/>
    <n v="0"/>
    <n v="0"/>
    <n v="0"/>
    <n v="0"/>
    <n v="979"/>
    <n v="0"/>
    <n v="979"/>
    <x v="1"/>
    <x v="22"/>
  </r>
  <r>
    <x v="818"/>
    <x v="71"/>
    <x v="0"/>
    <x v="43"/>
    <d v="2024-04-11T00:00:00"/>
    <x v="2"/>
    <x v="0"/>
    <x v="8"/>
    <x v="8"/>
    <x v="6"/>
    <s v="Yes"/>
    <x v="0"/>
    <x v="2"/>
    <n v="3164"/>
    <n v="0"/>
    <n v="0"/>
    <n v="0"/>
    <n v="0"/>
    <n v="3164"/>
    <n v="0"/>
    <n v="3164"/>
    <x v="2"/>
    <x v="22"/>
  </r>
  <r>
    <x v="819"/>
    <x v="26"/>
    <x v="0"/>
    <x v="48"/>
    <d v="2024-05-11T00:00:00"/>
    <x v="2"/>
    <x v="0"/>
    <x v="3"/>
    <x v="3"/>
    <x v="1"/>
    <s v="Yes"/>
    <x v="0"/>
    <x v="0"/>
    <n v="0"/>
    <n v="0"/>
    <n v="0"/>
    <n v="0"/>
    <n v="0"/>
    <n v="0"/>
    <n v="0"/>
    <n v="0"/>
    <x v="3"/>
    <x v="22"/>
  </r>
  <r>
    <x v="820"/>
    <x v="72"/>
    <x v="0"/>
    <x v="7"/>
    <d v="2024-06-11T00:00:00"/>
    <x v="5"/>
    <x v="0"/>
    <x v="1"/>
    <x v="1"/>
    <x v="1"/>
    <s v="No"/>
    <x v="1"/>
    <x v="2"/>
    <n v="0"/>
    <n v="150"/>
    <n v="200"/>
    <n v="0"/>
    <n v="0"/>
    <n v="350"/>
    <n v="0"/>
    <n v="350"/>
    <x v="3"/>
    <x v="22"/>
  </r>
  <r>
    <x v="821"/>
    <x v="36"/>
    <x v="0"/>
    <x v="17"/>
    <d v="2024-07-11T00:00:00"/>
    <x v="2"/>
    <x v="1"/>
    <x v="2"/>
    <x v="2"/>
    <x v="2"/>
    <s v="No"/>
    <x v="0"/>
    <x v="0"/>
    <n v="724"/>
    <n v="0"/>
    <n v="0"/>
    <n v="0"/>
    <n v="0"/>
    <n v="724"/>
    <n v="0"/>
    <n v="724"/>
    <x v="2"/>
    <x v="22"/>
  </r>
  <r>
    <x v="822"/>
    <x v="40"/>
    <x v="0"/>
    <x v="4"/>
    <d v="2024-07-11T00:00:00"/>
    <x v="8"/>
    <x v="1"/>
    <x v="1"/>
    <x v="1"/>
    <x v="1"/>
    <s v="No"/>
    <x v="1"/>
    <x v="1"/>
    <n v="0"/>
    <n v="150"/>
    <n v="200"/>
    <n v="0"/>
    <n v="0"/>
    <n v="350"/>
    <n v="0"/>
    <n v="350"/>
    <x v="3"/>
    <x v="22"/>
  </r>
  <r>
    <x v="823"/>
    <x v="86"/>
    <x v="0"/>
    <x v="8"/>
    <d v="2024-08-11T00:00:00"/>
    <x v="1"/>
    <x v="1"/>
    <x v="1"/>
    <x v="1"/>
    <x v="1"/>
    <s v="No"/>
    <x v="1"/>
    <x v="0"/>
    <n v="0"/>
    <n v="150"/>
    <n v="200"/>
    <n v="0"/>
    <n v="0"/>
    <n v="350"/>
    <n v="0"/>
    <n v="350"/>
    <x v="3"/>
    <x v="22"/>
  </r>
  <r>
    <x v="824"/>
    <x v="8"/>
    <x v="0"/>
    <x v="43"/>
    <d v="2024-08-11T00:00:00"/>
    <x v="3"/>
    <x v="0"/>
    <x v="1"/>
    <x v="1"/>
    <x v="1"/>
    <s v="Yes"/>
    <x v="1"/>
    <x v="1"/>
    <n v="0"/>
    <n v="150"/>
    <n v="0"/>
    <n v="0"/>
    <n v="60"/>
    <n v="90"/>
    <n v="0"/>
    <n v="90"/>
    <x v="1"/>
    <x v="22"/>
  </r>
  <r>
    <x v="825"/>
    <x v="49"/>
    <x v="1"/>
    <x v="47"/>
    <d v="2024-09-11T00:00:00"/>
    <x v="6"/>
    <x v="0"/>
    <x v="0"/>
    <x v="0"/>
    <x v="0"/>
    <s v="No"/>
    <x v="1"/>
    <x v="0"/>
    <n v="627"/>
    <n v="0"/>
    <n v="0"/>
    <n v="0"/>
    <n v="0"/>
    <n v="627"/>
    <n v="0"/>
    <n v="627"/>
    <x v="2"/>
    <x v="22"/>
  </r>
  <r>
    <x v="826"/>
    <x v="29"/>
    <x v="1"/>
    <x v="65"/>
    <s v="13-11-2024"/>
    <x v="5"/>
    <x v="0"/>
    <x v="8"/>
    <x v="8"/>
    <x v="6"/>
    <s v="No"/>
    <x v="1"/>
    <x v="0"/>
    <n v="2846"/>
    <n v="0"/>
    <n v="0"/>
    <n v="0"/>
    <n v="500"/>
    <n v="2346"/>
    <n v="0"/>
    <n v="2346"/>
    <x v="1"/>
    <x v="22"/>
  </r>
  <r>
    <x v="827"/>
    <x v="70"/>
    <x v="1"/>
    <x v="5"/>
    <s v="14-11-2024"/>
    <x v="6"/>
    <x v="1"/>
    <x v="1"/>
    <x v="1"/>
    <x v="1"/>
    <s v="Yes"/>
    <x v="1"/>
    <x v="0"/>
    <n v="0"/>
    <n v="150"/>
    <n v="0"/>
    <n v="0"/>
    <n v="0"/>
    <n v="150"/>
    <n v="0"/>
    <n v="150"/>
    <x v="3"/>
    <x v="22"/>
  </r>
  <r>
    <x v="828"/>
    <x v="70"/>
    <x v="1"/>
    <x v="7"/>
    <s v="14-11-2024"/>
    <x v="5"/>
    <x v="0"/>
    <x v="3"/>
    <x v="3"/>
    <x v="1"/>
    <s v="No"/>
    <x v="0"/>
    <x v="0"/>
    <n v="0"/>
    <n v="0"/>
    <n v="200"/>
    <n v="0"/>
    <n v="0"/>
    <n v="200"/>
    <n v="0"/>
    <n v="200"/>
    <x v="3"/>
    <x v="22"/>
  </r>
  <r>
    <x v="829"/>
    <x v="62"/>
    <x v="1"/>
    <x v="13"/>
    <s v="15-11-2024"/>
    <x v="9"/>
    <x v="0"/>
    <x v="0"/>
    <x v="0"/>
    <x v="0"/>
    <s v="Yes"/>
    <x v="1"/>
    <x v="1"/>
    <n v="646"/>
    <n v="0"/>
    <n v="0"/>
    <n v="0"/>
    <n v="0"/>
    <n v="646"/>
    <n v="0"/>
    <n v="646"/>
    <x v="0"/>
    <x v="22"/>
  </r>
  <r>
    <x v="830"/>
    <x v="55"/>
    <x v="1"/>
    <x v="16"/>
    <s v="15-11-2024"/>
    <x v="1"/>
    <x v="0"/>
    <x v="1"/>
    <x v="1"/>
    <x v="1"/>
    <s v="No"/>
    <x v="1"/>
    <x v="0"/>
    <n v="0"/>
    <n v="150"/>
    <n v="200"/>
    <n v="0"/>
    <n v="0"/>
    <n v="350"/>
    <n v="0"/>
    <n v="350"/>
    <x v="0"/>
    <x v="22"/>
  </r>
  <r>
    <x v="831"/>
    <x v="72"/>
    <x v="0"/>
    <x v="51"/>
    <s v="16-11-2024"/>
    <x v="2"/>
    <x v="1"/>
    <x v="1"/>
    <x v="1"/>
    <x v="1"/>
    <s v="No"/>
    <x v="1"/>
    <x v="0"/>
    <n v="0"/>
    <n v="150"/>
    <n v="200"/>
    <n v="0"/>
    <n v="0"/>
    <n v="350"/>
    <n v="0"/>
    <n v="350"/>
    <x v="3"/>
    <x v="22"/>
  </r>
  <r>
    <x v="832"/>
    <x v="76"/>
    <x v="1"/>
    <x v="27"/>
    <s v="16-11-2024"/>
    <x v="2"/>
    <x v="1"/>
    <x v="2"/>
    <x v="2"/>
    <x v="2"/>
    <s v="No"/>
    <x v="1"/>
    <x v="2"/>
    <n v="1014"/>
    <n v="0"/>
    <n v="0"/>
    <n v="0"/>
    <n v="0"/>
    <n v="1014"/>
    <n v="0"/>
    <n v="1014"/>
    <x v="2"/>
    <x v="22"/>
  </r>
  <r>
    <x v="833"/>
    <x v="33"/>
    <x v="0"/>
    <x v="72"/>
    <s v="19-11-2024"/>
    <x v="2"/>
    <x v="0"/>
    <x v="1"/>
    <x v="1"/>
    <x v="1"/>
    <s v="No"/>
    <x v="1"/>
    <x v="1"/>
    <n v="0"/>
    <n v="150"/>
    <n v="200"/>
    <n v="0"/>
    <n v="0"/>
    <n v="350"/>
    <n v="0"/>
    <n v="350"/>
    <x v="3"/>
    <x v="22"/>
  </r>
  <r>
    <x v="834"/>
    <x v="25"/>
    <x v="1"/>
    <x v="50"/>
    <s v="21-11-2024"/>
    <x v="5"/>
    <x v="0"/>
    <x v="1"/>
    <x v="1"/>
    <x v="1"/>
    <s v="Yes"/>
    <x v="1"/>
    <x v="0"/>
    <n v="0"/>
    <n v="150"/>
    <n v="0"/>
    <n v="0"/>
    <n v="60"/>
    <n v="90"/>
    <n v="0"/>
    <n v="90"/>
    <x v="3"/>
    <x v="22"/>
  </r>
  <r>
    <x v="835"/>
    <x v="12"/>
    <x v="1"/>
    <x v="66"/>
    <s v="21-11-2024"/>
    <x v="5"/>
    <x v="1"/>
    <x v="2"/>
    <x v="2"/>
    <x v="2"/>
    <s v="No"/>
    <x v="1"/>
    <x v="0"/>
    <n v="644"/>
    <n v="0"/>
    <n v="0"/>
    <n v="0"/>
    <n v="0"/>
    <n v="644"/>
    <n v="0"/>
    <n v="644"/>
    <x v="1"/>
    <x v="22"/>
  </r>
  <r>
    <x v="836"/>
    <x v="37"/>
    <x v="0"/>
    <x v="26"/>
    <s v="21-11-2024"/>
    <x v="0"/>
    <x v="0"/>
    <x v="8"/>
    <x v="8"/>
    <x v="6"/>
    <s v="Yes"/>
    <x v="0"/>
    <x v="0"/>
    <n v="2757"/>
    <n v="0"/>
    <n v="0"/>
    <n v="0"/>
    <n v="0"/>
    <n v="2757"/>
    <n v="0"/>
    <n v="2757"/>
    <x v="0"/>
    <x v="22"/>
  </r>
  <r>
    <x v="837"/>
    <x v="19"/>
    <x v="1"/>
    <x v="73"/>
    <s v="22-11-2024"/>
    <x v="2"/>
    <x v="1"/>
    <x v="1"/>
    <x v="1"/>
    <x v="1"/>
    <s v="No"/>
    <x v="1"/>
    <x v="2"/>
    <n v="0"/>
    <n v="150"/>
    <n v="200"/>
    <n v="0"/>
    <n v="100"/>
    <n v="250"/>
    <n v="0"/>
    <n v="250"/>
    <x v="3"/>
    <x v="22"/>
  </r>
  <r>
    <x v="838"/>
    <x v="62"/>
    <x v="1"/>
    <x v="30"/>
    <s v="23-11-2024"/>
    <x v="1"/>
    <x v="0"/>
    <x v="3"/>
    <x v="3"/>
    <x v="1"/>
    <s v="No"/>
    <x v="0"/>
    <x v="0"/>
    <n v="0"/>
    <n v="0"/>
    <n v="200"/>
    <n v="0"/>
    <n v="0"/>
    <n v="200"/>
    <n v="0"/>
    <n v="200"/>
    <x v="2"/>
    <x v="22"/>
  </r>
  <r>
    <x v="839"/>
    <x v="18"/>
    <x v="1"/>
    <x v="39"/>
    <s v="23-11-2024"/>
    <x v="5"/>
    <x v="1"/>
    <x v="3"/>
    <x v="3"/>
    <x v="1"/>
    <s v="No"/>
    <x v="0"/>
    <x v="0"/>
    <n v="0"/>
    <n v="0"/>
    <n v="200"/>
    <n v="0"/>
    <n v="80"/>
    <n v="120"/>
    <n v="0"/>
    <n v="120"/>
    <x v="3"/>
    <x v="22"/>
  </r>
  <r>
    <x v="840"/>
    <x v="14"/>
    <x v="1"/>
    <x v="30"/>
    <s v="25-11-2024"/>
    <x v="1"/>
    <x v="0"/>
    <x v="3"/>
    <x v="3"/>
    <x v="1"/>
    <s v="Yes"/>
    <x v="0"/>
    <x v="0"/>
    <n v="0"/>
    <n v="0"/>
    <n v="0"/>
    <n v="0"/>
    <n v="0"/>
    <n v="0"/>
    <n v="0"/>
    <n v="0"/>
    <x v="1"/>
    <x v="22"/>
  </r>
  <r>
    <x v="841"/>
    <x v="54"/>
    <x v="1"/>
    <x v="38"/>
    <s v="25-11-2024"/>
    <x v="5"/>
    <x v="0"/>
    <x v="1"/>
    <x v="1"/>
    <x v="1"/>
    <s v="Yes"/>
    <x v="1"/>
    <x v="0"/>
    <n v="0"/>
    <n v="150"/>
    <n v="0"/>
    <n v="0"/>
    <n v="0"/>
    <n v="150"/>
    <n v="0"/>
    <n v="150"/>
    <x v="2"/>
    <x v="22"/>
  </r>
  <r>
    <x v="842"/>
    <x v="9"/>
    <x v="0"/>
    <x v="33"/>
    <s v="26-11-2024"/>
    <x v="13"/>
    <x v="1"/>
    <x v="1"/>
    <x v="1"/>
    <x v="1"/>
    <s v="Yes"/>
    <x v="1"/>
    <x v="0"/>
    <n v="0"/>
    <n v="150"/>
    <n v="0"/>
    <n v="0"/>
    <n v="0"/>
    <n v="150"/>
    <n v="0"/>
    <n v="150"/>
    <x v="0"/>
    <x v="22"/>
  </r>
  <r>
    <x v="843"/>
    <x v="33"/>
    <x v="0"/>
    <x v="42"/>
    <s v="26-11-2024"/>
    <x v="2"/>
    <x v="0"/>
    <x v="3"/>
    <x v="3"/>
    <x v="1"/>
    <s v="Yes"/>
    <x v="0"/>
    <x v="1"/>
    <n v="0"/>
    <n v="0"/>
    <n v="0"/>
    <n v="0"/>
    <n v="0"/>
    <n v="0"/>
    <n v="0"/>
    <n v="0"/>
    <x v="3"/>
    <x v="22"/>
  </r>
  <r>
    <x v="844"/>
    <x v="84"/>
    <x v="1"/>
    <x v="34"/>
    <s v="27-11-2024"/>
    <x v="0"/>
    <x v="0"/>
    <x v="3"/>
    <x v="3"/>
    <x v="1"/>
    <s v="No"/>
    <x v="0"/>
    <x v="1"/>
    <n v="0"/>
    <n v="0"/>
    <n v="200"/>
    <n v="0"/>
    <n v="0"/>
    <n v="200"/>
    <n v="0"/>
    <n v="200"/>
    <x v="1"/>
    <x v="22"/>
  </r>
  <r>
    <x v="845"/>
    <x v="53"/>
    <x v="1"/>
    <x v="41"/>
    <s v="28-11-2024"/>
    <x v="1"/>
    <x v="0"/>
    <x v="1"/>
    <x v="1"/>
    <x v="1"/>
    <s v="No"/>
    <x v="1"/>
    <x v="0"/>
    <n v="0"/>
    <n v="150"/>
    <n v="200"/>
    <n v="0"/>
    <n v="0"/>
    <n v="350"/>
    <n v="0"/>
    <n v="350"/>
    <x v="3"/>
    <x v="22"/>
  </r>
  <r>
    <x v="846"/>
    <x v="32"/>
    <x v="1"/>
    <x v="72"/>
    <s v="29-11-2024"/>
    <x v="1"/>
    <x v="0"/>
    <x v="1"/>
    <x v="1"/>
    <x v="1"/>
    <s v="Yes"/>
    <x v="1"/>
    <x v="0"/>
    <n v="0"/>
    <n v="150"/>
    <n v="0"/>
    <n v="0"/>
    <n v="0"/>
    <n v="150"/>
    <n v="0"/>
    <n v="150"/>
    <x v="3"/>
    <x v="22"/>
  </r>
  <r>
    <x v="847"/>
    <x v="78"/>
    <x v="0"/>
    <x v="60"/>
    <s v="30-11-2024"/>
    <x v="1"/>
    <x v="1"/>
    <x v="3"/>
    <x v="3"/>
    <x v="1"/>
    <s v="No"/>
    <x v="0"/>
    <x v="0"/>
    <n v="0"/>
    <n v="0"/>
    <n v="200"/>
    <n v="0"/>
    <n v="0"/>
    <n v="200"/>
    <n v="0"/>
    <n v="200"/>
    <x v="2"/>
    <x v="22"/>
  </r>
  <r>
    <x v="848"/>
    <x v="33"/>
    <x v="0"/>
    <x v="74"/>
    <d v="2024-01-12T00:00:00"/>
    <x v="2"/>
    <x v="0"/>
    <x v="1"/>
    <x v="1"/>
    <x v="1"/>
    <s v="No"/>
    <x v="1"/>
    <x v="0"/>
    <n v="0"/>
    <n v="150"/>
    <n v="200"/>
    <n v="0"/>
    <n v="50"/>
    <n v="300"/>
    <n v="0"/>
    <n v="300"/>
    <x v="3"/>
    <x v="23"/>
  </r>
  <r>
    <x v="849"/>
    <x v="46"/>
    <x v="0"/>
    <x v="46"/>
    <d v="2024-02-12T00:00:00"/>
    <x v="1"/>
    <x v="0"/>
    <x v="1"/>
    <x v="1"/>
    <x v="1"/>
    <s v="No"/>
    <x v="1"/>
    <x v="1"/>
    <n v="0"/>
    <n v="150"/>
    <n v="200"/>
    <n v="0"/>
    <n v="0"/>
    <n v="350"/>
    <n v="0"/>
    <n v="350"/>
    <x v="2"/>
    <x v="23"/>
  </r>
  <r>
    <x v="850"/>
    <x v="40"/>
    <x v="0"/>
    <x v="6"/>
    <d v="2024-02-12T00:00:00"/>
    <x v="0"/>
    <x v="0"/>
    <x v="7"/>
    <x v="7"/>
    <x v="5"/>
    <s v="Yes"/>
    <x v="0"/>
    <x v="1"/>
    <n v="19232"/>
    <n v="0"/>
    <n v="0"/>
    <n v="5690"/>
    <n v="750"/>
    <n v="18482"/>
    <n v="0"/>
    <n v="12792"/>
    <x v="3"/>
    <x v="23"/>
  </r>
  <r>
    <x v="851"/>
    <x v="55"/>
    <x v="1"/>
    <x v="73"/>
    <d v="2024-02-12T00:00:00"/>
    <x v="2"/>
    <x v="0"/>
    <x v="3"/>
    <x v="3"/>
    <x v="1"/>
    <s v="No"/>
    <x v="0"/>
    <x v="0"/>
    <n v="0"/>
    <n v="0"/>
    <n v="200"/>
    <n v="0"/>
    <n v="0"/>
    <n v="200"/>
    <n v="0"/>
    <n v="200"/>
    <x v="1"/>
    <x v="23"/>
  </r>
  <r>
    <x v="852"/>
    <x v="62"/>
    <x v="1"/>
    <x v="67"/>
    <d v="2024-02-12T00:00:00"/>
    <x v="1"/>
    <x v="0"/>
    <x v="3"/>
    <x v="3"/>
    <x v="1"/>
    <s v="Yes"/>
    <x v="0"/>
    <x v="0"/>
    <n v="0"/>
    <n v="0"/>
    <n v="0"/>
    <n v="0"/>
    <n v="0"/>
    <n v="0"/>
    <n v="0"/>
    <n v="0"/>
    <x v="3"/>
    <x v="23"/>
  </r>
  <r>
    <x v="853"/>
    <x v="9"/>
    <x v="0"/>
    <x v="36"/>
    <d v="2024-02-12T00:00:00"/>
    <x v="8"/>
    <x v="0"/>
    <x v="3"/>
    <x v="3"/>
    <x v="1"/>
    <s v="No"/>
    <x v="0"/>
    <x v="0"/>
    <n v="0"/>
    <n v="0"/>
    <n v="200"/>
    <n v="0"/>
    <n v="0"/>
    <n v="200"/>
    <n v="0"/>
    <n v="200"/>
    <x v="0"/>
    <x v="23"/>
  </r>
  <r>
    <x v="854"/>
    <x v="58"/>
    <x v="0"/>
    <x v="37"/>
    <d v="2024-02-12T00:00:00"/>
    <x v="1"/>
    <x v="0"/>
    <x v="1"/>
    <x v="1"/>
    <x v="1"/>
    <s v="No"/>
    <x v="1"/>
    <x v="0"/>
    <n v="0"/>
    <n v="150"/>
    <n v="200"/>
    <n v="0"/>
    <n v="50"/>
    <n v="300"/>
    <n v="0"/>
    <n v="300"/>
    <x v="2"/>
    <x v="23"/>
  </r>
  <r>
    <x v="855"/>
    <x v="5"/>
    <x v="1"/>
    <x v="73"/>
    <d v="2024-02-12T00:00:00"/>
    <x v="8"/>
    <x v="0"/>
    <x v="0"/>
    <x v="0"/>
    <x v="0"/>
    <s v="No"/>
    <x v="0"/>
    <x v="0"/>
    <n v="521"/>
    <n v="0"/>
    <n v="0"/>
    <n v="0"/>
    <n v="100"/>
    <n v="421"/>
    <n v="0"/>
    <n v="421"/>
    <x v="2"/>
    <x v="23"/>
  </r>
  <r>
    <x v="856"/>
    <x v="70"/>
    <x v="1"/>
    <x v="42"/>
    <d v="2024-02-12T00:00:00"/>
    <x v="2"/>
    <x v="1"/>
    <x v="1"/>
    <x v="1"/>
    <x v="1"/>
    <s v="Yes"/>
    <x v="1"/>
    <x v="0"/>
    <n v="0"/>
    <n v="150"/>
    <n v="0"/>
    <n v="0"/>
    <n v="0"/>
    <n v="150"/>
    <n v="0"/>
    <n v="150"/>
    <x v="2"/>
    <x v="23"/>
  </r>
  <r>
    <x v="857"/>
    <x v="75"/>
    <x v="1"/>
    <x v="26"/>
    <d v="2024-02-12T00:00:00"/>
    <x v="1"/>
    <x v="0"/>
    <x v="7"/>
    <x v="7"/>
    <x v="5"/>
    <s v="No"/>
    <x v="1"/>
    <x v="0"/>
    <n v="14092"/>
    <n v="0"/>
    <n v="0"/>
    <n v="4120"/>
    <n v="0"/>
    <n v="14092"/>
    <n v="0"/>
    <n v="9972"/>
    <x v="1"/>
    <x v="23"/>
  </r>
  <r>
    <x v="858"/>
    <x v="24"/>
    <x v="0"/>
    <x v="13"/>
    <d v="2024-03-12T00:00:00"/>
    <x v="1"/>
    <x v="0"/>
    <x v="6"/>
    <x v="6"/>
    <x v="4"/>
    <s v="No"/>
    <x v="1"/>
    <x v="2"/>
    <n v="20445"/>
    <n v="0"/>
    <n v="0"/>
    <n v="4890"/>
    <n v="100"/>
    <n v="20345"/>
    <n v="0"/>
    <n v="15455"/>
    <x v="1"/>
    <x v="23"/>
  </r>
  <r>
    <x v="859"/>
    <x v="12"/>
    <x v="1"/>
    <x v="72"/>
    <d v="2024-03-12T00:00:00"/>
    <x v="1"/>
    <x v="0"/>
    <x v="0"/>
    <x v="0"/>
    <x v="0"/>
    <s v="No"/>
    <x v="0"/>
    <x v="1"/>
    <n v="497"/>
    <n v="0"/>
    <n v="0"/>
    <n v="0"/>
    <n v="0"/>
    <n v="497"/>
    <n v="0"/>
    <n v="497"/>
    <x v="1"/>
    <x v="23"/>
  </r>
  <r>
    <x v="860"/>
    <x v="15"/>
    <x v="1"/>
    <x v="34"/>
    <d v="2024-03-12T00:00:00"/>
    <x v="7"/>
    <x v="0"/>
    <x v="3"/>
    <x v="3"/>
    <x v="1"/>
    <s v="No"/>
    <x v="0"/>
    <x v="2"/>
    <n v="0"/>
    <n v="0"/>
    <n v="200"/>
    <n v="0"/>
    <n v="0"/>
    <n v="200"/>
    <n v="0"/>
    <n v="200"/>
    <x v="3"/>
    <x v="23"/>
  </r>
  <r>
    <x v="861"/>
    <x v="77"/>
    <x v="0"/>
    <x v="14"/>
    <d v="2024-03-12T00:00:00"/>
    <x v="3"/>
    <x v="0"/>
    <x v="3"/>
    <x v="3"/>
    <x v="1"/>
    <s v="No"/>
    <x v="0"/>
    <x v="0"/>
    <n v="0"/>
    <n v="0"/>
    <n v="200"/>
    <n v="0"/>
    <n v="0"/>
    <n v="200"/>
    <n v="0"/>
    <n v="200"/>
    <x v="1"/>
    <x v="23"/>
  </r>
  <r>
    <x v="862"/>
    <x v="74"/>
    <x v="1"/>
    <x v="42"/>
    <d v="2024-03-12T00:00:00"/>
    <x v="1"/>
    <x v="0"/>
    <x v="1"/>
    <x v="1"/>
    <x v="1"/>
    <s v="No"/>
    <x v="1"/>
    <x v="0"/>
    <n v="0"/>
    <n v="150"/>
    <n v="200"/>
    <n v="0"/>
    <n v="140"/>
    <n v="210"/>
    <n v="0"/>
    <n v="210"/>
    <x v="2"/>
    <x v="23"/>
  </r>
  <r>
    <x v="863"/>
    <x v="33"/>
    <x v="0"/>
    <x v="52"/>
    <d v="2024-03-12T00:00:00"/>
    <x v="2"/>
    <x v="1"/>
    <x v="1"/>
    <x v="1"/>
    <x v="1"/>
    <s v="No"/>
    <x v="1"/>
    <x v="0"/>
    <n v="0"/>
    <n v="150"/>
    <n v="200"/>
    <n v="0"/>
    <n v="140"/>
    <n v="210"/>
    <n v="0"/>
    <n v="210"/>
    <x v="2"/>
    <x v="23"/>
  </r>
  <r>
    <x v="864"/>
    <x v="32"/>
    <x v="1"/>
    <x v="58"/>
    <d v="2024-03-12T00:00:00"/>
    <x v="8"/>
    <x v="0"/>
    <x v="3"/>
    <x v="3"/>
    <x v="1"/>
    <s v="No"/>
    <x v="0"/>
    <x v="0"/>
    <n v="0"/>
    <n v="0"/>
    <n v="200"/>
    <n v="0"/>
    <n v="0"/>
    <n v="200"/>
    <n v="0"/>
    <n v="200"/>
    <x v="1"/>
    <x v="23"/>
  </r>
  <r>
    <x v="865"/>
    <x v="71"/>
    <x v="0"/>
    <x v="0"/>
    <d v="2024-03-12T00:00:00"/>
    <x v="1"/>
    <x v="1"/>
    <x v="9"/>
    <x v="9"/>
    <x v="7"/>
    <s v="Yes"/>
    <x v="1"/>
    <x v="0"/>
    <n v="3544"/>
    <n v="0"/>
    <n v="0"/>
    <n v="1450"/>
    <n v="0"/>
    <n v="3154"/>
    <n v="390"/>
    <n v="1704"/>
    <x v="0"/>
    <x v="23"/>
  </r>
  <r>
    <x v="866"/>
    <x v="57"/>
    <x v="1"/>
    <x v="10"/>
    <d v="2024-03-12T00:00:00"/>
    <x v="1"/>
    <x v="1"/>
    <x v="3"/>
    <x v="3"/>
    <x v="1"/>
    <s v="No"/>
    <x v="0"/>
    <x v="0"/>
    <n v="0"/>
    <n v="0"/>
    <n v="200"/>
    <n v="0"/>
    <n v="0"/>
    <n v="200"/>
    <n v="0"/>
    <n v="200"/>
    <x v="2"/>
    <x v="23"/>
  </r>
  <r>
    <x v="867"/>
    <x v="29"/>
    <x v="1"/>
    <x v="36"/>
    <d v="2024-03-12T00:00:00"/>
    <x v="5"/>
    <x v="0"/>
    <x v="0"/>
    <x v="0"/>
    <x v="0"/>
    <s v="No"/>
    <x v="1"/>
    <x v="0"/>
    <n v="480"/>
    <n v="0"/>
    <n v="0"/>
    <n v="0"/>
    <n v="0"/>
    <n v="480"/>
    <n v="0"/>
    <n v="480"/>
    <x v="0"/>
    <x v="23"/>
  </r>
  <r>
    <x v="868"/>
    <x v="77"/>
    <x v="0"/>
    <x v="15"/>
    <d v="2024-03-12T00:00:00"/>
    <x v="2"/>
    <x v="0"/>
    <x v="7"/>
    <x v="7"/>
    <x v="5"/>
    <s v="No"/>
    <x v="1"/>
    <x v="0"/>
    <n v="19801"/>
    <n v="0"/>
    <n v="0"/>
    <n v="3890"/>
    <n v="0"/>
    <n v="19801"/>
    <n v="0"/>
    <n v="15911"/>
    <x v="1"/>
    <x v="23"/>
  </r>
  <r>
    <x v="869"/>
    <x v="83"/>
    <x v="0"/>
    <x v="7"/>
    <d v="2024-03-12T00:00:00"/>
    <x v="5"/>
    <x v="0"/>
    <x v="1"/>
    <x v="1"/>
    <x v="1"/>
    <s v="No"/>
    <x v="1"/>
    <x v="0"/>
    <n v="0"/>
    <n v="150"/>
    <n v="200"/>
    <n v="0"/>
    <n v="140"/>
    <n v="210"/>
    <n v="0"/>
    <n v="210"/>
    <x v="3"/>
    <x v="23"/>
  </r>
  <r>
    <x v="870"/>
    <x v="18"/>
    <x v="1"/>
    <x v="0"/>
    <d v="2024-03-12T00:00:00"/>
    <x v="1"/>
    <x v="0"/>
    <x v="1"/>
    <x v="1"/>
    <x v="1"/>
    <s v="No"/>
    <x v="1"/>
    <x v="0"/>
    <n v="0"/>
    <n v="150"/>
    <n v="200"/>
    <n v="0"/>
    <n v="0"/>
    <n v="350"/>
    <n v="0"/>
    <n v="350"/>
    <x v="1"/>
    <x v="23"/>
  </r>
  <r>
    <x v="871"/>
    <x v="85"/>
    <x v="0"/>
    <x v="25"/>
    <d v="2024-04-12T00:00:00"/>
    <x v="2"/>
    <x v="1"/>
    <x v="3"/>
    <x v="3"/>
    <x v="1"/>
    <s v="Yes"/>
    <x v="0"/>
    <x v="1"/>
    <n v="0"/>
    <n v="0"/>
    <n v="0"/>
    <n v="0"/>
    <n v="0"/>
    <n v="0"/>
    <n v="0"/>
    <n v="0"/>
    <x v="3"/>
    <x v="23"/>
  </r>
  <r>
    <x v="872"/>
    <x v="51"/>
    <x v="0"/>
    <x v="13"/>
    <d v="2024-04-12T00:00:00"/>
    <x v="1"/>
    <x v="0"/>
    <x v="1"/>
    <x v="1"/>
    <x v="1"/>
    <s v="No"/>
    <x v="1"/>
    <x v="1"/>
    <n v="0"/>
    <n v="150"/>
    <n v="200"/>
    <n v="0"/>
    <n v="140"/>
    <n v="210"/>
    <n v="0"/>
    <n v="210"/>
    <x v="1"/>
    <x v="23"/>
  </r>
  <r>
    <x v="873"/>
    <x v="66"/>
    <x v="1"/>
    <x v="11"/>
    <d v="2024-04-12T00:00:00"/>
    <x v="1"/>
    <x v="0"/>
    <x v="3"/>
    <x v="3"/>
    <x v="1"/>
    <s v="Yes"/>
    <x v="0"/>
    <x v="0"/>
    <n v="0"/>
    <n v="0"/>
    <n v="0"/>
    <n v="0"/>
    <n v="0"/>
    <n v="0"/>
    <n v="0"/>
    <n v="0"/>
    <x v="2"/>
    <x v="23"/>
  </r>
  <r>
    <x v="874"/>
    <x v="39"/>
    <x v="0"/>
    <x v="58"/>
    <d v="2024-04-12T00:00:00"/>
    <x v="1"/>
    <x v="1"/>
    <x v="1"/>
    <x v="1"/>
    <x v="1"/>
    <s v="No"/>
    <x v="1"/>
    <x v="0"/>
    <n v="0"/>
    <n v="150"/>
    <n v="200"/>
    <n v="0"/>
    <n v="0"/>
    <n v="350"/>
    <n v="0"/>
    <n v="350"/>
    <x v="3"/>
    <x v="23"/>
  </r>
  <r>
    <x v="875"/>
    <x v="82"/>
    <x v="1"/>
    <x v="66"/>
    <d v="2024-04-12T00:00:00"/>
    <x v="2"/>
    <x v="0"/>
    <x v="3"/>
    <x v="3"/>
    <x v="1"/>
    <s v="Yes"/>
    <x v="0"/>
    <x v="0"/>
    <n v="0"/>
    <n v="0"/>
    <n v="0"/>
    <n v="0"/>
    <n v="0"/>
    <n v="0"/>
    <n v="0"/>
    <n v="0"/>
    <x v="3"/>
    <x v="23"/>
  </r>
  <r>
    <x v="876"/>
    <x v="67"/>
    <x v="1"/>
    <x v="24"/>
    <d v="2024-04-12T00:00:00"/>
    <x v="0"/>
    <x v="1"/>
    <x v="1"/>
    <x v="1"/>
    <x v="1"/>
    <s v="No"/>
    <x v="1"/>
    <x v="0"/>
    <n v="0"/>
    <n v="150"/>
    <n v="200"/>
    <n v="0"/>
    <n v="140"/>
    <n v="210"/>
    <n v="0"/>
    <n v="210"/>
    <x v="2"/>
    <x v="23"/>
  </r>
  <r>
    <x v="877"/>
    <x v="6"/>
    <x v="0"/>
    <x v="55"/>
    <d v="2024-04-12T00:00:00"/>
    <x v="1"/>
    <x v="0"/>
    <x v="3"/>
    <x v="3"/>
    <x v="1"/>
    <s v="No"/>
    <x v="0"/>
    <x v="1"/>
    <n v="0"/>
    <n v="0"/>
    <n v="200"/>
    <n v="0"/>
    <n v="0"/>
    <n v="200"/>
    <n v="0"/>
    <n v="200"/>
    <x v="3"/>
    <x v="23"/>
  </r>
  <r>
    <x v="878"/>
    <x v="48"/>
    <x v="1"/>
    <x v="71"/>
    <d v="2024-05-12T00:00:00"/>
    <x v="2"/>
    <x v="0"/>
    <x v="3"/>
    <x v="3"/>
    <x v="1"/>
    <s v="No"/>
    <x v="0"/>
    <x v="0"/>
    <n v="0"/>
    <n v="0"/>
    <n v="200"/>
    <n v="0"/>
    <n v="0"/>
    <n v="200"/>
    <n v="0"/>
    <n v="200"/>
    <x v="3"/>
    <x v="23"/>
  </r>
  <r>
    <x v="879"/>
    <x v="23"/>
    <x v="1"/>
    <x v="58"/>
    <d v="2024-05-12T00:00:00"/>
    <x v="2"/>
    <x v="0"/>
    <x v="7"/>
    <x v="7"/>
    <x v="5"/>
    <s v="No"/>
    <x v="1"/>
    <x v="2"/>
    <n v="19238"/>
    <n v="0"/>
    <n v="0"/>
    <n v="4950"/>
    <n v="0"/>
    <n v="19238"/>
    <n v="0"/>
    <n v="14288"/>
    <x v="2"/>
    <x v="23"/>
  </r>
  <r>
    <x v="880"/>
    <x v="43"/>
    <x v="0"/>
    <x v="5"/>
    <d v="2024-05-12T00:00:00"/>
    <x v="2"/>
    <x v="0"/>
    <x v="1"/>
    <x v="1"/>
    <x v="1"/>
    <s v="Yes"/>
    <x v="1"/>
    <x v="0"/>
    <n v="0"/>
    <n v="150"/>
    <n v="0"/>
    <n v="0"/>
    <n v="0"/>
    <n v="150"/>
    <n v="0"/>
    <n v="150"/>
    <x v="2"/>
    <x v="23"/>
  </r>
  <r>
    <x v="881"/>
    <x v="51"/>
    <x v="0"/>
    <x v="14"/>
    <d v="2024-05-12T00:00:00"/>
    <x v="2"/>
    <x v="0"/>
    <x v="3"/>
    <x v="3"/>
    <x v="1"/>
    <s v="Yes"/>
    <x v="0"/>
    <x v="2"/>
    <n v="0"/>
    <n v="0"/>
    <n v="0"/>
    <n v="0"/>
    <n v="0"/>
    <n v="0"/>
    <n v="0"/>
    <n v="0"/>
    <x v="0"/>
    <x v="23"/>
  </r>
  <r>
    <x v="882"/>
    <x v="79"/>
    <x v="1"/>
    <x v="4"/>
    <d v="2024-05-12T00:00:00"/>
    <x v="7"/>
    <x v="0"/>
    <x v="3"/>
    <x v="3"/>
    <x v="1"/>
    <s v="No"/>
    <x v="0"/>
    <x v="0"/>
    <n v="0"/>
    <n v="0"/>
    <n v="200"/>
    <n v="0"/>
    <n v="80"/>
    <n v="120"/>
    <n v="0"/>
    <n v="120"/>
    <x v="3"/>
    <x v="23"/>
  </r>
  <r>
    <x v="883"/>
    <x v="58"/>
    <x v="0"/>
    <x v="54"/>
    <d v="2024-05-12T00:00:00"/>
    <x v="5"/>
    <x v="1"/>
    <x v="3"/>
    <x v="3"/>
    <x v="1"/>
    <s v="No"/>
    <x v="0"/>
    <x v="0"/>
    <n v="0"/>
    <n v="0"/>
    <n v="200"/>
    <n v="0"/>
    <n v="80"/>
    <n v="120"/>
    <n v="0"/>
    <n v="120"/>
    <x v="0"/>
    <x v="23"/>
  </r>
  <r>
    <x v="884"/>
    <x v="6"/>
    <x v="0"/>
    <x v="71"/>
    <d v="2024-06-12T00:00:00"/>
    <x v="1"/>
    <x v="0"/>
    <x v="0"/>
    <x v="0"/>
    <x v="0"/>
    <s v="Yes"/>
    <x v="1"/>
    <x v="0"/>
    <n v="480"/>
    <n v="0"/>
    <n v="0"/>
    <n v="0"/>
    <n v="100"/>
    <n v="380"/>
    <n v="0"/>
    <n v="380"/>
    <x v="3"/>
    <x v="23"/>
  </r>
  <r>
    <x v="885"/>
    <x v="57"/>
    <x v="1"/>
    <x v="36"/>
    <d v="2024-06-12T00:00:00"/>
    <x v="1"/>
    <x v="0"/>
    <x v="3"/>
    <x v="3"/>
    <x v="1"/>
    <s v="No"/>
    <x v="0"/>
    <x v="1"/>
    <n v="0"/>
    <n v="0"/>
    <n v="200"/>
    <n v="0"/>
    <n v="0"/>
    <n v="200"/>
    <n v="0"/>
    <n v="200"/>
    <x v="0"/>
    <x v="23"/>
  </r>
  <r>
    <x v="886"/>
    <x v="28"/>
    <x v="0"/>
    <x v="54"/>
    <d v="2024-06-12T00:00:00"/>
    <x v="5"/>
    <x v="0"/>
    <x v="3"/>
    <x v="3"/>
    <x v="1"/>
    <s v="Yes"/>
    <x v="0"/>
    <x v="0"/>
    <n v="0"/>
    <n v="0"/>
    <n v="0"/>
    <n v="0"/>
    <n v="0"/>
    <n v="0"/>
    <n v="0"/>
    <n v="0"/>
    <x v="3"/>
    <x v="23"/>
  </r>
  <r>
    <x v="887"/>
    <x v="70"/>
    <x v="1"/>
    <x v="2"/>
    <d v="2024-06-12T00:00:00"/>
    <x v="5"/>
    <x v="0"/>
    <x v="3"/>
    <x v="3"/>
    <x v="1"/>
    <s v="Yes"/>
    <x v="0"/>
    <x v="1"/>
    <n v="0"/>
    <n v="0"/>
    <n v="0"/>
    <n v="0"/>
    <n v="0"/>
    <n v="0"/>
    <n v="0"/>
    <n v="0"/>
    <x v="1"/>
    <x v="23"/>
  </r>
  <r>
    <x v="888"/>
    <x v="51"/>
    <x v="0"/>
    <x v="55"/>
    <d v="2024-06-12T00:00:00"/>
    <x v="0"/>
    <x v="0"/>
    <x v="3"/>
    <x v="3"/>
    <x v="1"/>
    <s v="No"/>
    <x v="0"/>
    <x v="1"/>
    <n v="0"/>
    <n v="0"/>
    <n v="200"/>
    <n v="0"/>
    <n v="0"/>
    <n v="200"/>
    <n v="0"/>
    <n v="200"/>
    <x v="0"/>
    <x v="23"/>
  </r>
  <r>
    <x v="889"/>
    <x v="43"/>
    <x v="0"/>
    <x v="39"/>
    <d v="2024-06-12T00:00:00"/>
    <x v="2"/>
    <x v="1"/>
    <x v="3"/>
    <x v="3"/>
    <x v="1"/>
    <s v="Yes"/>
    <x v="0"/>
    <x v="0"/>
    <n v="0"/>
    <n v="0"/>
    <n v="0"/>
    <n v="0"/>
    <n v="0"/>
    <n v="0"/>
    <n v="0"/>
    <n v="0"/>
    <x v="1"/>
    <x v="23"/>
  </r>
  <r>
    <x v="890"/>
    <x v="30"/>
    <x v="1"/>
    <x v="5"/>
    <d v="2024-07-12T00:00:00"/>
    <x v="5"/>
    <x v="0"/>
    <x v="1"/>
    <x v="1"/>
    <x v="1"/>
    <s v="Yes"/>
    <x v="1"/>
    <x v="0"/>
    <n v="0"/>
    <n v="150"/>
    <n v="0"/>
    <n v="0"/>
    <n v="0"/>
    <n v="150"/>
    <n v="0"/>
    <n v="150"/>
    <x v="1"/>
    <x v="23"/>
  </r>
  <r>
    <x v="891"/>
    <x v="25"/>
    <x v="1"/>
    <x v="42"/>
    <d v="2024-07-12T00:00:00"/>
    <x v="5"/>
    <x v="0"/>
    <x v="1"/>
    <x v="1"/>
    <x v="1"/>
    <s v="No"/>
    <x v="1"/>
    <x v="1"/>
    <n v="0"/>
    <n v="150"/>
    <n v="200"/>
    <n v="0"/>
    <n v="0"/>
    <n v="350"/>
    <n v="0"/>
    <n v="350"/>
    <x v="1"/>
    <x v="23"/>
  </r>
  <r>
    <x v="892"/>
    <x v="26"/>
    <x v="0"/>
    <x v="42"/>
    <d v="2024-07-12T00:00:00"/>
    <x v="3"/>
    <x v="0"/>
    <x v="1"/>
    <x v="1"/>
    <x v="1"/>
    <s v="Yes"/>
    <x v="1"/>
    <x v="0"/>
    <n v="0"/>
    <n v="150"/>
    <n v="0"/>
    <n v="0"/>
    <n v="60"/>
    <n v="90"/>
    <n v="0"/>
    <n v="90"/>
    <x v="2"/>
    <x v="23"/>
  </r>
  <r>
    <x v="893"/>
    <x v="74"/>
    <x v="1"/>
    <x v="55"/>
    <d v="2024-07-12T00:00:00"/>
    <x v="2"/>
    <x v="1"/>
    <x v="1"/>
    <x v="1"/>
    <x v="1"/>
    <s v="No"/>
    <x v="1"/>
    <x v="0"/>
    <n v="0"/>
    <n v="150"/>
    <n v="200"/>
    <n v="0"/>
    <n v="0"/>
    <n v="350"/>
    <n v="0"/>
    <n v="350"/>
    <x v="3"/>
    <x v="23"/>
  </r>
  <r>
    <x v="894"/>
    <x v="17"/>
    <x v="1"/>
    <x v="4"/>
    <d v="2024-07-12T00:00:00"/>
    <x v="5"/>
    <x v="0"/>
    <x v="3"/>
    <x v="3"/>
    <x v="1"/>
    <s v="Yes"/>
    <x v="0"/>
    <x v="0"/>
    <n v="0"/>
    <n v="0"/>
    <n v="0"/>
    <n v="0"/>
    <n v="0"/>
    <n v="0"/>
    <n v="0"/>
    <n v="0"/>
    <x v="2"/>
    <x v="23"/>
  </r>
  <r>
    <x v="895"/>
    <x v="26"/>
    <x v="0"/>
    <x v="65"/>
    <d v="2024-07-12T00:00:00"/>
    <x v="7"/>
    <x v="0"/>
    <x v="3"/>
    <x v="3"/>
    <x v="1"/>
    <s v="No"/>
    <x v="0"/>
    <x v="0"/>
    <n v="0"/>
    <n v="0"/>
    <n v="200"/>
    <n v="0"/>
    <n v="0"/>
    <n v="200"/>
    <n v="0"/>
    <n v="200"/>
    <x v="3"/>
    <x v="23"/>
  </r>
  <r>
    <x v="896"/>
    <x v="32"/>
    <x v="1"/>
    <x v="12"/>
    <d v="2024-07-12T00:00:00"/>
    <x v="13"/>
    <x v="0"/>
    <x v="1"/>
    <x v="1"/>
    <x v="1"/>
    <s v="No"/>
    <x v="1"/>
    <x v="1"/>
    <n v="0"/>
    <n v="150"/>
    <n v="200"/>
    <n v="0"/>
    <n v="0"/>
    <n v="350"/>
    <n v="0"/>
    <n v="350"/>
    <x v="2"/>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FA971-2D94-465F-9588-6854988AE25C}"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reatment" colHeaderCaption="">
  <location ref="D13:G25" firstHeaderRow="1" firstDataRow="2" firstDataCol="1"/>
  <pivotFields count="23">
    <pivotField showAll="0"/>
    <pivotField showAll="0"/>
    <pivotField showAll="0"/>
    <pivotField showAll="0"/>
    <pivotField showAll="0"/>
    <pivotField showAll="0"/>
    <pivotField axis="axisCol" showAll="0">
      <items count="3">
        <item x="0"/>
        <item x="1"/>
        <item t="default"/>
      </items>
    </pivotField>
    <pivotField showAll="0"/>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11">
    <i>
      <x/>
    </i>
    <i>
      <x v="1"/>
    </i>
    <i>
      <x v="2"/>
    </i>
    <i>
      <x v="3"/>
    </i>
    <i>
      <x v="4"/>
    </i>
    <i>
      <x v="5"/>
    </i>
    <i>
      <x v="6"/>
    </i>
    <i>
      <x v="7"/>
    </i>
    <i>
      <x v="8"/>
    </i>
    <i>
      <x v="9"/>
    </i>
    <i t="grand">
      <x/>
    </i>
  </rowItems>
  <colFields count="1">
    <field x="6"/>
  </colFields>
  <colItems count="3">
    <i>
      <x/>
    </i>
    <i>
      <x v="1"/>
    </i>
    <i t="grand">
      <x/>
    </i>
  </colItems>
  <dataFields count="1">
    <dataField name="Sum of Dis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FC086-E135-4A97-932E-BE69FFB8D6C3}"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octor">
  <location ref="H1:I4" firstHeaderRow="1" firstDataRow="1" firstDataCol="1"/>
  <pivotFields count="23">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6"/>
  </rowFields>
  <rowItems count="3">
    <i>
      <x/>
    </i>
    <i>
      <x v="1"/>
    </i>
    <i t="grand">
      <x/>
    </i>
  </rowItems>
  <colItems count="1">
    <i/>
  </colItems>
  <dataFields count="1">
    <dataField name="  Total Paid" fld="1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F5004D-6D7D-419F-8AD1-C1FD2CBB5E46}"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reatment">
  <location ref="D1:E12"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11">
    <i>
      <x/>
    </i>
    <i>
      <x v="1"/>
    </i>
    <i>
      <x v="2"/>
    </i>
    <i>
      <x v="3"/>
    </i>
    <i>
      <x v="4"/>
    </i>
    <i>
      <x v="5"/>
    </i>
    <i>
      <x v="6"/>
    </i>
    <i>
      <x v="7"/>
    </i>
    <i>
      <x v="8"/>
    </i>
    <i>
      <x v="9"/>
    </i>
    <i t="grand">
      <x/>
    </i>
  </rowItems>
  <colItems count="1">
    <i/>
  </colItems>
  <dataFields count="1">
    <dataField name=" Profit" fld="20"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9A29A-F743-4DCF-B81D-1F0A2A986D16}"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reatment">
  <location ref="F1:G12"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11">
    <i>
      <x/>
    </i>
    <i>
      <x v="1"/>
    </i>
    <i>
      <x v="2"/>
    </i>
    <i>
      <x v="3"/>
    </i>
    <i>
      <x v="4"/>
    </i>
    <i>
      <x v="5"/>
    </i>
    <i>
      <x v="6"/>
    </i>
    <i>
      <x v="7"/>
    </i>
    <i>
      <x v="8"/>
    </i>
    <i>
      <x v="9"/>
    </i>
    <i t="grand">
      <x/>
    </i>
  </rowItems>
  <colItems count="1">
    <i/>
  </colItems>
  <dataFields count="1">
    <dataField name=" Total Pai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11F65-EDD1-4EB1-A27E-D6FD60A919E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unth">
  <location ref="N1:O26"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rofit" fld="20" baseField="0" baseItem="0" numFmtId="165"/>
  </dataFields>
  <formats count="4">
    <format dxfId="4">
      <pivotArea field="22" type="button" dataOnly="0" labelOnly="1" outline="0" axis="axisRow" fieldPosition="0"/>
    </format>
    <format dxfId="3">
      <pivotArea dataOnly="0" labelOnly="1" grandRow="1"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85516-1917-4325-A212-D6FE2D9BD638}"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unth">
  <location ref="L1:M26"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 Total Paid" fld="18" baseField="22" baseItem="0" numFmtId="165"/>
  </dataFields>
  <formats count="2">
    <format dxfId="6">
      <pivotArea outline="0" collapsedLevelsAreSubtotals="1" fieldPosition="0"/>
    </format>
    <format dxfId="5">
      <pivotArea dataOnly="0" labelOnly="1" outline="0" axis="axisValues" fieldPosition="0"/>
    </format>
  </formats>
  <chartFormats count="26">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2" count="1" selected="0">
            <x v="0"/>
          </reference>
        </references>
      </pivotArea>
    </chartFormat>
    <chartFormat chart="2" format="6">
      <pivotArea type="data" outline="0" fieldPosition="0">
        <references count="2">
          <reference field="4294967294" count="1" selected="0">
            <x v="0"/>
          </reference>
          <reference field="22" count="1" selected="0">
            <x v="1"/>
          </reference>
        </references>
      </pivotArea>
    </chartFormat>
    <chartFormat chart="2" format="7">
      <pivotArea type="data" outline="0" fieldPosition="0">
        <references count="2">
          <reference field="4294967294" count="1" selected="0">
            <x v="0"/>
          </reference>
          <reference field="22" count="1" selected="0">
            <x v="2"/>
          </reference>
        </references>
      </pivotArea>
    </chartFormat>
    <chartFormat chart="2" format="8">
      <pivotArea type="data" outline="0" fieldPosition="0">
        <references count="2">
          <reference field="4294967294" count="1" selected="0">
            <x v="0"/>
          </reference>
          <reference field="22" count="1" selected="0">
            <x v="3"/>
          </reference>
        </references>
      </pivotArea>
    </chartFormat>
    <chartFormat chart="2" format="9">
      <pivotArea type="data" outline="0" fieldPosition="0">
        <references count="2">
          <reference field="4294967294" count="1" selected="0">
            <x v="0"/>
          </reference>
          <reference field="22" count="1" selected="0">
            <x v="4"/>
          </reference>
        </references>
      </pivotArea>
    </chartFormat>
    <chartFormat chart="2" format="10">
      <pivotArea type="data" outline="0" fieldPosition="0">
        <references count="2">
          <reference field="4294967294" count="1" selected="0">
            <x v="0"/>
          </reference>
          <reference field="22" count="1" selected="0">
            <x v="5"/>
          </reference>
        </references>
      </pivotArea>
    </chartFormat>
    <chartFormat chart="2" format="11">
      <pivotArea type="data" outline="0" fieldPosition="0">
        <references count="2">
          <reference field="4294967294" count="1" selected="0">
            <x v="0"/>
          </reference>
          <reference field="22" count="1" selected="0">
            <x v="6"/>
          </reference>
        </references>
      </pivotArea>
    </chartFormat>
    <chartFormat chart="2" format="12">
      <pivotArea type="data" outline="0" fieldPosition="0">
        <references count="2">
          <reference field="4294967294" count="1" selected="0">
            <x v="0"/>
          </reference>
          <reference field="22" count="1" selected="0">
            <x v="7"/>
          </reference>
        </references>
      </pivotArea>
    </chartFormat>
    <chartFormat chart="2" format="13">
      <pivotArea type="data" outline="0" fieldPosition="0">
        <references count="2">
          <reference field="4294967294" count="1" selected="0">
            <x v="0"/>
          </reference>
          <reference field="22" count="1" selected="0">
            <x v="8"/>
          </reference>
        </references>
      </pivotArea>
    </chartFormat>
    <chartFormat chart="2" format="14">
      <pivotArea type="data" outline="0" fieldPosition="0">
        <references count="2">
          <reference field="4294967294" count="1" selected="0">
            <x v="0"/>
          </reference>
          <reference field="22" count="1" selected="0">
            <x v="9"/>
          </reference>
        </references>
      </pivotArea>
    </chartFormat>
    <chartFormat chart="2" format="15">
      <pivotArea type="data" outline="0" fieldPosition="0">
        <references count="2">
          <reference field="4294967294" count="1" selected="0">
            <x v="0"/>
          </reference>
          <reference field="22" count="1" selected="0">
            <x v="10"/>
          </reference>
        </references>
      </pivotArea>
    </chartFormat>
    <chartFormat chart="2" format="16">
      <pivotArea type="data" outline="0" fieldPosition="0">
        <references count="2">
          <reference field="4294967294" count="1" selected="0">
            <x v="0"/>
          </reference>
          <reference field="22" count="1" selected="0">
            <x v="11"/>
          </reference>
        </references>
      </pivotArea>
    </chartFormat>
    <chartFormat chart="2" format="17">
      <pivotArea type="data" outline="0" fieldPosition="0">
        <references count="2">
          <reference field="4294967294" count="1" selected="0">
            <x v="0"/>
          </reference>
          <reference field="22" count="1" selected="0">
            <x v="12"/>
          </reference>
        </references>
      </pivotArea>
    </chartFormat>
    <chartFormat chart="2" format="18">
      <pivotArea type="data" outline="0" fieldPosition="0">
        <references count="2">
          <reference field="4294967294" count="1" selected="0">
            <x v="0"/>
          </reference>
          <reference field="22" count="1" selected="0">
            <x v="13"/>
          </reference>
        </references>
      </pivotArea>
    </chartFormat>
    <chartFormat chart="2" format="19">
      <pivotArea type="data" outline="0" fieldPosition="0">
        <references count="2">
          <reference field="4294967294" count="1" selected="0">
            <x v="0"/>
          </reference>
          <reference field="22" count="1" selected="0">
            <x v="14"/>
          </reference>
        </references>
      </pivotArea>
    </chartFormat>
    <chartFormat chart="2" format="20">
      <pivotArea type="data" outline="0" fieldPosition="0">
        <references count="2">
          <reference field="4294967294" count="1" selected="0">
            <x v="0"/>
          </reference>
          <reference field="22" count="1" selected="0">
            <x v="15"/>
          </reference>
        </references>
      </pivotArea>
    </chartFormat>
    <chartFormat chart="2" format="21">
      <pivotArea type="data" outline="0" fieldPosition="0">
        <references count="2">
          <reference field="4294967294" count="1" selected="0">
            <x v="0"/>
          </reference>
          <reference field="22" count="1" selected="0">
            <x v="16"/>
          </reference>
        </references>
      </pivotArea>
    </chartFormat>
    <chartFormat chart="2" format="22">
      <pivotArea type="data" outline="0" fieldPosition="0">
        <references count="2">
          <reference field="4294967294" count="1" selected="0">
            <x v="0"/>
          </reference>
          <reference field="22" count="1" selected="0">
            <x v="17"/>
          </reference>
        </references>
      </pivotArea>
    </chartFormat>
    <chartFormat chart="2" format="23">
      <pivotArea type="data" outline="0" fieldPosition="0">
        <references count="2">
          <reference field="4294967294" count="1" selected="0">
            <x v="0"/>
          </reference>
          <reference field="22" count="1" selected="0">
            <x v="18"/>
          </reference>
        </references>
      </pivotArea>
    </chartFormat>
    <chartFormat chart="2" format="24">
      <pivotArea type="data" outline="0" fieldPosition="0">
        <references count="2">
          <reference field="4294967294" count="1" selected="0">
            <x v="0"/>
          </reference>
          <reference field="22" count="1" selected="0">
            <x v="19"/>
          </reference>
        </references>
      </pivotArea>
    </chartFormat>
    <chartFormat chart="2" format="25">
      <pivotArea type="data" outline="0" fieldPosition="0">
        <references count="2">
          <reference field="4294967294" count="1" selected="0">
            <x v="0"/>
          </reference>
          <reference field="22" count="1" selected="0">
            <x v="20"/>
          </reference>
        </references>
      </pivotArea>
    </chartFormat>
    <chartFormat chart="2" format="26">
      <pivotArea type="data" outline="0" fieldPosition="0">
        <references count="2">
          <reference field="4294967294" count="1" selected="0">
            <x v="0"/>
          </reference>
          <reference field="22" count="1" selected="0">
            <x v="21"/>
          </reference>
        </references>
      </pivotArea>
    </chartFormat>
    <chartFormat chart="2" format="27">
      <pivotArea type="data" outline="0" fieldPosition="0">
        <references count="2">
          <reference field="4294967294" count="1" selected="0">
            <x v="0"/>
          </reference>
          <reference field="22" count="1" selected="0">
            <x v="22"/>
          </reference>
        </references>
      </pivotArea>
    </chartFormat>
    <chartFormat chart="2" format="28">
      <pivotArea type="data" outline="0" fieldPosition="0">
        <references count="2">
          <reference field="4294967294" count="1" selected="0">
            <x v="0"/>
          </reference>
          <reference field="22"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954130-67F0-4E4A-8857-F849C6007183}"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unth">
  <location ref="Q1:R26"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D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A3D37C-85EF-4D7F-A3AD-4DAC1210CD40}"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                ">
  <location ref="H5:K17" firstHeaderRow="1" firstDataRow="2" firstDataCol="1"/>
  <pivotFields count="23">
    <pivotField showAll="0"/>
    <pivotField showAll="0"/>
    <pivotField showAll="0"/>
    <pivotField showAll="0"/>
    <pivotField showAll="0"/>
    <pivotField showAll="0"/>
    <pivotField axis="axisCol" showAll="0">
      <items count="3">
        <item x="0"/>
        <item x="1"/>
        <item t="default"/>
      </items>
    </pivotField>
    <pivotField showAll="0"/>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11">
    <i>
      <x/>
    </i>
    <i>
      <x v="1"/>
    </i>
    <i>
      <x v="2"/>
    </i>
    <i>
      <x v="3"/>
    </i>
    <i>
      <x v="4"/>
    </i>
    <i>
      <x v="5"/>
    </i>
    <i>
      <x v="6"/>
    </i>
    <i>
      <x v="7"/>
    </i>
    <i>
      <x v="8"/>
    </i>
    <i>
      <x v="9"/>
    </i>
    <i t="grand">
      <x/>
    </i>
  </rowItems>
  <colFields count="1">
    <field x="6"/>
  </colFields>
  <colItems count="3">
    <i>
      <x/>
    </i>
    <i>
      <x v="1"/>
    </i>
    <i t="grand">
      <x/>
    </i>
  </colItems>
  <dataFields count="1">
    <dataField name="Sum of D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7299E8-1346-4EF3-A81F-153EBE40625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octor ">
  <location ref="J1:K4" firstHeaderRow="1" firstDataRow="1" firstDataCol="1"/>
  <pivotFields count="23">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6"/>
  </rowFields>
  <rowItems count="3">
    <i>
      <x/>
    </i>
    <i>
      <x v="1"/>
    </i>
    <i t="grand">
      <x/>
    </i>
  </rowItems>
  <colItems count="1">
    <i/>
  </colItems>
  <dataFields count="1">
    <dataField name="  Profit" fld="20"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367AD0-BA9B-40DA-B447-FB929718A0E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tient type">
  <location ref="H18:I22"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2"/>
  </rowFields>
  <rowItems count="4">
    <i>
      <x/>
    </i>
    <i>
      <x v="1"/>
    </i>
    <i>
      <x v="2"/>
    </i>
    <i t="grand">
      <x/>
    </i>
  </rowItems>
  <colItems count="1">
    <i/>
  </colItems>
  <dataFields count="1">
    <dataField name="Sum of Total Pai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140C4D-8195-4A87-A7BD-EA19E416B2F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reatment" colHeaderCaption=" ">
  <location ref="E2:F13"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pivotField showAll="0">
      <items count="3">
        <item x="0"/>
        <item x="1"/>
        <item t="default"/>
      </items>
    </pivotField>
    <pivotField showAll="0">
      <items count="11">
        <item x="4"/>
        <item x="2"/>
        <item x="3"/>
        <item x="1"/>
        <item x="0"/>
        <item x="5"/>
        <item x="7"/>
        <item x="6"/>
        <item x="8"/>
        <item x="9"/>
        <item t="default"/>
      </items>
    </pivotField>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11">
    <i>
      <x/>
    </i>
    <i>
      <x v="1"/>
    </i>
    <i>
      <x v="2"/>
    </i>
    <i>
      <x v="3"/>
    </i>
    <i>
      <x v="4"/>
    </i>
    <i>
      <x v="5"/>
    </i>
    <i>
      <x v="6"/>
    </i>
    <i>
      <x v="7"/>
    </i>
    <i>
      <x v="8"/>
    </i>
    <i>
      <x v="9"/>
    </i>
    <i t="grand">
      <x/>
    </i>
  </rowItems>
  <colItems count="1">
    <i/>
  </colItems>
  <dataFields count="1">
    <dataField name="count" fld="0" subtotal="count" baseField="0" baseItem="0"/>
  </dataFields>
  <chartFormats count="11">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pivotArea type="data" outline="0" fieldPosition="0">
        <references count="2">
          <reference field="4294967294" count="1" selected="0">
            <x v="0"/>
          </reference>
          <reference field="8" count="1" selected="0">
            <x v="3"/>
          </reference>
        </references>
      </pivotArea>
    </chartFormat>
    <chartFormat chart="2" format="17">
      <pivotArea type="data" outline="0" fieldPosition="0">
        <references count="2">
          <reference field="4294967294" count="1" selected="0">
            <x v="0"/>
          </reference>
          <reference field="8" count="1" selected="0">
            <x v="4"/>
          </reference>
        </references>
      </pivotArea>
    </chartFormat>
    <chartFormat chart="2" format="18">
      <pivotArea type="data" outline="0" fieldPosition="0">
        <references count="2">
          <reference field="4294967294" count="1" selected="0">
            <x v="0"/>
          </reference>
          <reference field="8" count="1" selected="0">
            <x v="5"/>
          </reference>
        </references>
      </pivotArea>
    </chartFormat>
    <chartFormat chart="2" format="19">
      <pivotArea type="data" outline="0" fieldPosition="0">
        <references count="2">
          <reference field="4294967294" count="1" selected="0">
            <x v="0"/>
          </reference>
          <reference field="8" count="1" selected="0">
            <x v="6"/>
          </reference>
        </references>
      </pivotArea>
    </chartFormat>
    <chartFormat chart="2" format="20">
      <pivotArea type="data" outline="0" fieldPosition="0">
        <references count="2">
          <reference field="4294967294" count="1" selected="0">
            <x v="0"/>
          </reference>
          <reference field="8" count="1" selected="0">
            <x v="7"/>
          </reference>
        </references>
      </pivotArea>
    </chartFormat>
    <chartFormat chart="2" format="21">
      <pivotArea type="data" outline="0" fieldPosition="0">
        <references count="2">
          <reference field="4294967294" count="1" selected="0">
            <x v="0"/>
          </reference>
          <reference field="8" count="1" selected="0">
            <x v="8"/>
          </reference>
        </references>
      </pivotArea>
    </chartFormat>
    <chartFormat chart="2" format="22">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14AEB1-D3E6-4A33-BDB8-AB7DAB8942E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D12"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pivotField showAll="0">
      <items count="3">
        <item x="0"/>
        <item x="1"/>
        <item t="default"/>
      </items>
    </pivotField>
    <pivotField axis="axisRow" showAll="0">
      <items count="11">
        <item x="4"/>
        <item x="2"/>
        <item x="3"/>
        <item x="1"/>
        <item x="0"/>
        <item x="5"/>
        <item x="7"/>
        <item x="6"/>
        <item x="8"/>
        <item x="9"/>
        <item t="default"/>
      </items>
    </pivotField>
    <pivotField showAll="0">
      <items count="11">
        <item x="4"/>
        <item x="7"/>
        <item x="0"/>
        <item x="9"/>
        <item x="5"/>
        <item x="2"/>
        <item x="6"/>
        <item x="3"/>
        <item x="1"/>
        <item x="8"/>
        <item t="default"/>
      </items>
    </pivotField>
    <pivotField showAll="0">
      <items count="9">
        <item x="2"/>
        <item x="6"/>
        <item x="0"/>
        <item x="5"/>
        <item x="4"/>
        <item x="7"/>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7"/>
  </rowFields>
  <rowItems count="11">
    <i>
      <x/>
    </i>
    <i>
      <x v="1"/>
    </i>
    <i>
      <x v="2"/>
    </i>
    <i>
      <x v="3"/>
    </i>
    <i>
      <x v="4"/>
    </i>
    <i>
      <x v="5"/>
    </i>
    <i>
      <x v="6"/>
    </i>
    <i>
      <x v="7"/>
    </i>
    <i>
      <x v="8"/>
    </i>
    <i>
      <x v="9"/>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76817A-13C3-4EBA-B34D-3B83942A83B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type of treatment">
  <location ref="C5:D21"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pivotField axis="axisRow" showAll="0">
      <items count="3">
        <item x="0"/>
        <item x="1"/>
        <item t="default"/>
      </items>
    </pivotField>
    <pivotField showAll="0"/>
    <pivotField axis="axisRow"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2">
    <field x="6"/>
    <field x="8"/>
  </rowFields>
  <rowItems count="16">
    <i>
      <x/>
    </i>
    <i r="1">
      <x/>
    </i>
    <i r="1">
      <x v="1"/>
    </i>
    <i r="1">
      <x v="2"/>
    </i>
    <i r="1">
      <x v="6"/>
    </i>
    <i r="1">
      <x v="7"/>
    </i>
    <i r="1">
      <x v="8"/>
    </i>
    <i r="1">
      <x v="9"/>
    </i>
    <i>
      <x v="1"/>
    </i>
    <i r="1">
      <x v="2"/>
    </i>
    <i r="1">
      <x v="3"/>
    </i>
    <i r="1">
      <x v="4"/>
    </i>
    <i r="1">
      <x v="5"/>
    </i>
    <i r="1">
      <x v="7"/>
    </i>
    <i r="1">
      <x v="8"/>
    </i>
    <i t="grand">
      <x/>
    </i>
  </rowItems>
  <colItems count="1">
    <i/>
  </colItems>
  <dataFields count="1">
    <dataField name="count of cases"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E11198-2EF9-4849-8735-0815EA340E3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1:F4" firstHeaderRow="0" firstDataRow="1" firstDataCol="1"/>
  <pivotFields count="23">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6"/>
  </rowFields>
  <rowItems count="3">
    <i>
      <x/>
    </i>
    <i>
      <x v="1"/>
    </i>
    <i t="grand">
      <x/>
    </i>
  </rowItems>
  <colFields count="1">
    <field x="-2"/>
  </colFields>
  <colItems count="3">
    <i>
      <x/>
    </i>
    <i i="1">
      <x v="1"/>
    </i>
    <i i="2">
      <x v="2"/>
    </i>
  </colItems>
  <dataFields count="3">
    <dataField name="Sum of Profit" fld="20" baseField="0" baseItem="0"/>
    <dataField name="Sum of Due" fld="19" baseField="0" baseItem="0"/>
    <dataField name="Sum of Total Paid" fld="18" baseField="0" baseItem="0"/>
  </dataFields>
  <chartFormats count="9">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6" count="1" selected="0">
            <x v="0"/>
          </reference>
        </references>
      </pivotArea>
    </chartFormat>
    <chartFormat chart="2" format="10">
      <pivotArea type="data" outline="0" fieldPosition="0">
        <references count="2">
          <reference field="4294967294" count="1" selected="0">
            <x v="2"/>
          </reference>
          <reference field="6" count="1" selected="0">
            <x v="1"/>
          </reference>
        </references>
      </pivotArea>
    </chartFormat>
    <chartFormat chart="2" format="11">
      <pivotArea type="data" outline="0" fieldPosition="0">
        <references count="2">
          <reference field="4294967294" count="1" selected="0">
            <x v="2"/>
          </reference>
          <reference field="6" count="1" selected="0">
            <x v="0"/>
          </reference>
        </references>
      </pivotArea>
    </chartFormat>
    <chartFormat chart="2" format="12">
      <pivotArea type="data" outline="0" fieldPosition="0">
        <references count="2">
          <reference field="4294967294" count="1" selected="0">
            <x v="1"/>
          </reference>
          <reference field="6" count="1" selected="0">
            <x v="1"/>
          </reference>
        </references>
      </pivotArea>
    </chartFormat>
    <chartFormat chart="2" format="13">
      <pivotArea type="data" outline="0" fieldPosition="0">
        <references count="2">
          <reference field="4294967294" count="1" selected="0">
            <x v="0"/>
          </reference>
          <reference field="6" count="1" selected="0">
            <x v="1"/>
          </reference>
        </references>
      </pivotArea>
    </chartFormat>
    <chartFormat chart="2" format="1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24D46A-2E9B-494F-9F66-CD48B91AFA3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octors">
  <location ref="A1:B4"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6"/>
  </rowFields>
  <rowItems count="3">
    <i>
      <x/>
    </i>
    <i>
      <x v="1"/>
    </i>
    <i t="grand">
      <x/>
    </i>
  </rowItems>
  <colItems count="1">
    <i/>
  </colItems>
  <dataFields count="1">
    <dataField name="work loa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5062A8-703B-4591-B440-0A9BC28D1962}"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Q7" firstHeaderRow="1" firstDataRow="2" firstDataCol="1" rowPageCount="1" colPageCount="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axis="axisRow" showAll="0">
      <items count="3">
        <item x="0"/>
        <item x="1"/>
        <item t="default"/>
      </items>
    </pivotField>
    <pivotField axis="axisPage" multipleItemSelectionAllowed="1" showAll="0">
      <items count="77">
        <item x="34"/>
        <item x="29"/>
        <item x="65"/>
        <item x="46"/>
        <item x="43"/>
        <item x="47"/>
        <item x="61"/>
        <item x="63"/>
        <item x="5"/>
        <item x="39"/>
        <item x="67"/>
        <item x="3"/>
        <item x="71"/>
        <item x="72"/>
        <item x="58"/>
        <item x="32"/>
        <item x="57"/>
        <item x="26"/>
        <item x="18"/>
        <item x="30"/>
        <item x="68"/>
        <item x="56"/>
        <item x="36"/>
        <item x="49"/>
        <item x="55"/>
        <item x="6"/>
        <item x="66"/>
        <item x="41"/>
        <item x="35"/>
        <item x="60"/>
        <item x="21"/>
        <item x="10"/>
        <item x="40"/>
        <item x="64"/>
        <item x="62"/>
        <item x="44"/>
        <item x="38"/>
        <item x="54"/>
        <item x="11"/>
        <item x="75"/>
        <item x="17"/>
        <item x="28"/>
        <item x="16"/>
        <item x="12"/>
        <item x="22"/>
        <item x="50"/>
        <item x="51"/>
        <item x="37"/>
        <item x="8"/>
        <item x="0"/>
        <item x="23"/>
        <item x="52"/>
        <item x="2"/>
        <item x="59"/>
        <item x="13"/>
        <item x="25"/>
        <item x="69"/>
        <item x="14"/>
        <item x="73"/>
        <item x="33"/>
        <item x="9"/>
        <item x="27"/>
        <item x="4"/>
        <item x="15"/>
        <item x="42"/>
        <item x="20"/>
        <item x="70"/>
        <item x="19"/>
        <item x="1"/>
        <item x="45"/>
        <item x="53"/>
        <item x="31"/>
        <item x="74"/>
        <item x="48"/>
        <item x="24"/>
        <item x="7"/>
        <item t="default"/>
      </items>
    </pivotField>
    <pivotField showAll="0"/>
    <pivotField showAll="0">
      <items count="15">
        <item x="5"/>
        <item x="13"/>
        <item x="9"/>
        <item x="4"/>
        <item x="0"/>
        <item x="10"/>
        <item x="3"/>
        <item x="6"/>
        <item x="8"/>
        <item x="11"/>
        <item x="12"/>
        <item x="2"/>
        <item x="7"/>
        <item x="1"/>
        <item t="default"/>
      </items>
    </pivotField>
    <pivotField showAll="0">
      <items count="3">
        <item x="0"/>
        <item x="1"/>
        <item t="default"/>
      </items>
    </pivotField>
    <pivotField showAll="0"/>
    <pivotField axis="axisCol" showAll="0">
      <items count="11">
        <item x="4"/>
        <item x="7"/>
        <item x="0"/>
        <item x="9"/>
        <item x="5"/>
        <item x="2"/>
        <item x="6"/>
        <item x="3"/>
        <item x="1"/>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
  </rowFields>
  <rowItems count="3">
    <i>
      <x/>
    </i>
    <i>
      <x v="1"/>
    </i>
    <i t="grand">
      <x/>
    </i>
  </rowItems>
  <colFields count="1">
    <field x="8"/>
  </colFields>
  <colItems count="11">
    <i>
      <x/>
    </i>
    <i>
      <x v="1"/>
    </i>
    <i>
      <x v="2"/>
    </i>
    <i>
      <x v="3"/>
    </i>
    <i>
      <x v="4"/>
    </i>
    <i>
      <x v="5"/>
    </i>
    <i>
      <x v="6"/>
    </i>
    <i>
      <x v="7"/>
    </i>
    <i>
      <x v="8"/>
    </i>
    <i>
      <x v="9"/>
    </i>
    <i t="grand">
      <x/>
    </i>
  </colItems>
  <pageFields count="1">
    <pageField fld="3" hier="-1"/>
  </pageFields>
  <dataFields count="1">
    <dataField name="Count of Patient    "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A42F84-4F86-4D54-BF89-49E23603EBE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17:D42"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items count="15">
        <item x="5"/>
        <item x="13"/>
        <item x="9"/>
        <item x="4"/>
        <item x="0"/>
        <item x="10"/>
        <item x="3"/>
        <item x="6"/>
        <item x="8"/>
        <item x="11"/>
        <item x="12"/>
        <item x="2"/>
        <item x="7"/>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atient " fld="0" subtotal="count" baseField="0" baseItem="6068633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DF2E16-DD14-4E56-826A-4D61954A178B}"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tient type">
  <location ref="A1:B5"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items count="15">
        <item x="5"/>
        <item x="13"/>
        <item x="9"/>
        <item x="4"/>
        <item x="0"/>
        <item x="10"/>
        <item x="3"/>
        <item x="6"/>
        <item x="8"/>
        <item x="11"/>
        <item x="12"/>
        <item x="2"/>
        <item x="7"/>
        <item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2"/>
  </rowFields>
  <rowItems count="4">
    <i>
      <x/>
    </i>
    <i>
      <x v="1"/>
    </i>
    <i>
      <x v="2"/>
    </i>
    <i t="grand">
      <x/>
    </i>
  </rowItems>
  <colItems count="1">
    <i/>
  </colItems>
  <dataFields count="1">
    <dataField name="count of patient "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1031CA-CAB7-45C5-B76C-065395F83306}"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D2" firstHeaderRow="1" firstDataRow="1" firstDataCol="0"/>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Items count="1">
    <i/>
  </colItems>
  <dataFields count="1">
    <dataField name="Sum of Lab Charg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159531C-5EF6-41EE-9130-4C486ADB8E72}"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Items count="1">
    <i/>
  </colItems>
  <dataFields count="1">
    <dataField name="Sum of X-Ray Co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8A6041C-15D4-47F9-9826-7868C104A8E8}"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xray">
  <location ref="A1:B4" firstHeaderRow="1" firstDataRow="1" firstDataCol="1"/>
  <pivotFields count="23">
    <pivotField dataField="1" showAll="0">
      <items count="8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1"/>
  </rowFields>
  <rowItems count="3">
    <i>
      <x/>
    </i>
    <i>
      <x v="1"/>
    </i>
    <i t="grand">
      <x/>
    </i>
  </rowItems>
  <colItems count="1">
    <i/>
  </colItems>
  <dataFields count="1">
    <dataField name="Count of Patient   "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85113D-8A86-4DB4-9B02-A72E509DEBE3}"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ayment method">
  <location ref="A1:B6" firstHeaderRow="1" firstDataRow="1" firstDataCol="1"/>
  <pivotFields count="23">
    <pivotField showAll="0"/>
    <pivotField showAll="0"/>
    <pivotField showAll="0"/>
    <pivotField showAll="0"/>
    <pivotField showAll="0"/>
    <pivotField showAll="0">
      <items count="15">
        <item x="5"/>
        <item x="13"/>
        <item x="9"/>
        <item x="4"/>
        <item x="0"/>
        <item x="10"/>
        <item x="3"/>
        <item x="6"/>
        <item x="8"/>
        <item x="11"/>
        <item x="12"/>
        <item x="2"/>
        <item x="7"/>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1"/>
  </rowFields>
  <rowItems count="5">
    <i>
      <x/>
    </i>
    <i>
      <x v="1"/>
    </i>
    <i>
      <x v="2"/>
    </i>
    <i>
      <x v="3"/>
    </i>
    <i t="grand">
      <x/>
    </i>
  </rowItems>
  <colItems count="1">
    <i/>
  </colItems>
  <dataFields count="1">
    <dataField name="Sum of Total Paid"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lted_By" xr10:uid="{E4E39420-D617-4378-971B-F8A6C0F60B54}" sourceName="Consulted By">
  <pivotTables>
    <pivotTable tabId="3" name="PivotTable18"/>
    <pivotTable tabId="3" name="PivotTable10"/>
    <pivotTable tabId="3" name="PivotTable11"/>
    <pivotTable tabId="3" name="PivotTable13"/>
    <pivotTable tabId="3" name="PivotTable14"/>
    <pivotTable tabId="3" name="PivotTable15"/>
    <pivotTable tabId="3" name="PivotTable17"/>
    <pivotTable tabId="3" name="PivotTable20"/>
    <pivotTable tabId="3" name="PivotTable8"/>
    <pivotTable tabId="3" name="PivotTable9"/>
    <pivotTable tabId="4" name="PivotTable2"/>
    <pivotTable tabId="4" name="PivotTable3"/>
    <pivotTable tabId="7" name="PivotTable11"/>
    <pivotTable tabId="7" name="PivotTable12"/>
    <pivotTable tabId="7" name="PivotTable13"/>
    <pivotTable tabId="6" name="PivotTable8"/>
    <pivotTable tabId="6" name="PivotTable10"/>
    <pivotTable tabId="6" name="PivotTable7"/>
    <pivotTable tabId="8" name="PivotTable14"/>
    <pivotTable tabId="5" name="PivotTable4"/>
    <pivotTable tabId="5" name="PivotTable5"/>
    <pivotTable tabId="5" name="PivotTable6"/>
  </pivotTables>
  <data>
    <tabular pivotCacheId="5732092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Month" xr10:uid="{B26415D7-8E48-44B6-8430-5B8F42D5761E}" sourceName="Visit Month">
  <pivotTables>
    <pivotTable tabId="3" name="PivotTable18"/>
    <pivotTable tabId="3" name="PivotTable10"/>
    <pivotTable tabId="3" name="PivotTable11"/>
    <pivotTable tabId="3" name="PivotTable13"/>
    <pivotTable tabId="3" name="PivotTable14"/>
    <pivotTable tabId="3" name="PivotTable15"/>
    <pivotTable tabId="3" name="PivotTable17"/>
    <pivotTable tabId="3" name="PivotTable20"/>
    <pivotTable tabId="3" name="PivotTable8"/>
    <pivotTable tabId="3" name="PivotTable9"/>
    <pivotTable tabId="4" name="PivotTable2"/>
    <pivotTable tabId="4" name="PivotTable3"/>
    <pivotTable tabId="7" name="PivotTable11"/>
    <pivotTable tabId="7" name="PivotTable12"/>
    <pivotTable tabId="7" name="PivotTable13"/>
    <pivotTable tabId="6" name="PivotTable8"/>
    <pivotTable tabId="6" name="PivotTable10"/>
    <pivotTable tabId="6" name="PivotTable7"/>
    <pivotTable tabId="8" name="PivotTable14"/>
    <pivotTable tabId="5" name="PivotTable6"/>
    <pivotTable tabId="5" name="PivotTable4"/>
    <pivotTable tabId="5" name="PivotTable5"/>
  </pivotTables>
  <data>
    <tabular pivotCacheId="573209273">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ress" xr10:uid="{B946B832-B8F5-433C-9778-57427D714028}" sourceName="Address">
  <pivotTables>
    <pivotTable tabId="6" name="PivotTable10"/>
    <pivotTable tabId="6" name="PivotTable7"/>
    <pivotTable tabId="6" name="PivotTable8"/>
    <pivotTable tabId="8" name="PivotTable14"/>
  </pivotTables>
  <data>
    <tabular pivotCacheId="573209273">
      <items count="14">
        <i x="5" s="1"/>
        <i x="13" s="1"/>
        <i x="9" s="1"/>
        <i x="4" s="1"/>
        <i x="0" s="1"/>
        <i x="10" s="1"/>
        <i x="3" s="1"/>
        <i x="6" s="1"/>
        <i x="8" s="1"/>
        <i x="11" s="1"/>
        <i x="12" s="1"/>
        <i x="2"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ulted By" xr10:uid="{66B3A15E-6909-4F61-9B4F-C38CE7C79077}" cache="Slicer_Consulted_By" caption="Consulted By" rowHeight="241300"/>
  <slicer name="Visit Month" xr10:uid="{5D834C36-607A-450C-A11A-E4BDDE6F4CCE}" cache="Slicer_Visit_Month" caption="Visit 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ulted By 2" xr10:uid="{F1587522-E913-4603-B1F8-213306C4E062}" cache="Slicer_Consulted_By" caption="Consulted By" rowHeight="241300"/>
  <slicer name="Visit Month 6" xr10:uid="{A3F2E9FE-5CA9-473B-9331-DCC73AC4F585}" cache="Slicer_Visit_Month" caption="Visit Month" startItem="1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Month 1" xr10:uid="{0CF1B45B-49E3-4616-AF50-F5D245677983}" cache="Slicer_Visit_Month" caption="Visit Month"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Month 2" xr10:uid="{7D915DA3-71F9-45F9-8102-88737C347437}" cache="Slicer_Visit_Month" caption="Visit Month"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ulted By 1" xr10:uid="{2DE3B8F7-3F01-4DBF-BE62-8A46D053FBD5}" cache="Slicer_Consulted_By" caption="Consulted By" rowHeight="241300"/>
  <slicer name="Visit Month 3" xr10:uid="{1AEC393E-2CC4-47D5-A02A-DF57518DE32C}" cache="Slicer_Visit_Month" caption="Visit Month" startItem="16" rowHeight="241300"/>
  <slicer name="Address" xr10:uid="{04725062-8890-4097-87ED-77B3D85A1E7E}" cache="Slicer_Address" caption="Address" startItem="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Month 4" xr10:uid="{DC31472B-DE50-4155-9DFD-3855FA9C6319}" cache="Slicer_Visit_Month" caption="Visit Month"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 Month 5" xr10:uid="{1E1F8699-6ADD-400D-BCE7-148A6B51BF4B}" cache="Slicer_Visit_Month" caption="Visit 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X898" totalsRowShown="0">
  <autoFilter ref="A1:X898" xr:uid="{00000000-0009-0000-0100-000002000000}">
    <filterColumn colId="3">
      <filters>
        <filter val="5"/>
      </filters>
    </filterColumn>
  </autoFilter>
  <tableColumns count="24">
    <tableColumn id="1" xr3:uid="{00000000-0010-0000-0000-000001000000}" name="Patient ID"/>
    <tableColumn id="2" xr3:uid="{00000000-0010-0000-0000-000002000000}" name="Patient Name"/>
    <tableColumn id="3" xr3:uid="{00000000-0010-0000-0000-000003000000}" name="Gender"/>
    <tableColumn id="4" xr3:uid="{00000000-0010-0000-0000-000004000000}" name="Age"/>
    <tableColumn id="5" xr3:uid="{00000000-0010-0000-0000-000005000000}" name="Visit Date" dataDxfId="10"/>
    <tableColumn id="6" xr3:uid="{00000000-0010-0000-0000-000006000000}" name="Address"/>
    <tableColumn id="7" xr3:uid="{00000000-0010-0000-0000-000007000000}" name="Consulted By"/>
    <tableColumn id="23" xr3:uid="{00000000-0010-0000-0000-000017000000}" name="diagnosis" dataDxfId="9">
      <calculatedColumnFormula>INDEX(Table1[Diagnosis],MATCH(I2,'codeand diagnosis'!$A$2:$A$11,0))</calculatedColumnFormula>
    </tableColumn>
    <tableColumn id="8" xr3:uid="{00000000-0010-0000-0000-000008000000}" name="Treatment"/>
    <tableColumn id="24" xr3:uid="{00000000-0010-0000-0000-000018000000}" name="icd10 code" dataDxfId="8">
      <calculatedColumnFormula>INDEX(Table1[ICD-10 Code],MATCH(Table2[[#This Row],[Treatment]],Table1[Treatment Type],0))</calculatedColumnFormula>
    </tableColumn>
    <tableColumn id="9" xr3:uid="{00000000-0010-0000-0000-000009000000}" name="Dental Camp"/>
    <tableColumn id="10" xr3:uid="{00000000-0010-0000-0000-00000A000000}" name="X-Ray Done"/>
    <tableColumn id="11" xr3:uid="{00000000-0010-0000-0000-00000B000000}" name="Patient Type"/>
    <tableColumn id="12" xr3:uid="{06A45FC5-9208-4C44-858D-7568DA1C7A62}" name="Revenue" dataDxfId="0">
      <calculatedColumnFormula>Table2[[#This Row],[Total Paid]]+Table2[[#This Row],[Due]]</calculatedColumnFormula>
    </tableColumn>
    <tableColumn id="13" xr3:uid="{00000000-0010-0000-0000-00000D000000}" name="Treatment Cost"/>
    <tableColumn id="14" xr3:uid="{00000000-0010-0000-0000-00000E000000}" name="X-Ray Cost"/>
    <tableColumn id="15" xr3:uid="{00000000-0010-0000-0000-00000F000000}" name="OPD Cost"/>
    <tableColumn id="16" xr3:uid="{00000000-0010-0000-0000-000010000000}" name="Lab Charges"/>
    <tableColumn id="17" xr3:uid="{00000000-0010-0000-0000-000011000000}" name="Discount"/>
    <tableColumn id="18" xr3:uid="{00000000-0010-0000-0000-000012000000}" name="Total Paid"/>
    <tableColumn id="19" xr3:uid="{00000000-0010-0000-0000-000013000000}" name="Due"/>
    <tableColumn id="20" xr3:uid="{00000000-0010-0000-0000-000014000000}" name="Profit"/>
    <tableColumn id="21" xr3:uid="{00000000-0010-0000-0000-000015000000}" name="Payment Method"/>
    <tableColumn id="22" xr3:uid="{00000000-0010-0000-0000-000016000000}" name="Visit Month"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C11" totalsRowShown="0">
  <autoFilter ref="A1:C11" xr:uid="{00000000-0009-0000-0100-000001000000}"/>
  <tableColumns count="3">
    <tableColumn id="1" xr3:uid="{00000000-0010-0000-0100-000001000000}" name="Treatment Type"/>
    <tableColumn id="2" xr3:uid="{00000000-0010-0000-0100-000002000000}" name="ICD-10 Code"/>
    <tableColumn id="3" xr3:uid="{00000000-0010-0000-0100-000003000000}" name="Diagno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4.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5.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07/relationships/slicer" Target="../slicers/slicer6.xm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98"/>
  <sheetViews>
    <sheetView topLeftCell="K46" workbookViewId="0">
      <selection activeCell="V42" sqref="V42"/>
    </sheetView>
  </sheetViews>
  <sheetFormatPr defaultRowHeight="15" x14ac:dyDescent="0.25"/>
  <cols>
    <col min="1" max="1" width="11.85546875" customWidth="1"/>
    <col min="2" max="2" width="15.28515625" customWidth="1"/>
    <col min="3" max="3" width="9.85546875" customWidth="1"/>
    <col min="5" max="5" width="11.7109375" customWidth="1"/>
    <col min="6" max="6" width="10.28515625" customWidth="1"/>
    <col min="7" max="7" width="14.7109375" customWidth="1"/>
    <col min="8" max="8" width="32.28515625" bestFit="1" customWidth="1"/>
    <col min="9" max="10" width="12.5703125" bestFit="1" customWidth="1"/>
    <col min="11" max="11" width="14.42578125" customWidth="1"/>
    <col min="12" max="12" width="13.28515625" customWidth="1"/>
    <col min="13" max="14" width="14.28515625" customWidth="1"/>
    <col min="15" max="15" width="16.7109375" customWidth="1"/>
    <col min="16" max="16" width="12.42578125" customWidth="1"/>
    <col min="17" max="17" width="11.28515625" customWidth="1"/>
    <col min="18" max="18" width="13.5703125" customWidth="1"/>
    <col min="19" max="19" width="10.85546875" customWidth="1"/>
    <col min="20" max="20" width="11.85546875" customWidth="1"/>
    <col min="23" max="23" width="18.5703125" customWidth="1"/>
    <col min="24" max="24" width="13.5703125" customWidth="1"/>
  </cols>
  <sheetData>
    <row r="1" spans="1:24" x14ac:dyDescent="0.25">
      <c r="A1" t="s">
        <v>0</v>
      </c>
      <c r="B1" t="s">
        <v>1</v>
      </c>
      <c r="C1" t="s">
        <v>2</v>
      </c>
      <c r="D1" t="s">
        <v>3</v>
      </c>
      <c r="E1" t="s">
        <v>4</v>
      </c>
      <c r="F1" t="s">
        <v>5</v>
      </c>
      <c r="G1" t="s">
        <v>6</v>
      </c>
      <c r="H1" t="s">
        <v>1377</v>
      </c>
      <c r="I1" t="s">
        <v>7</v>
      </c>
      <c r="J1" t="s">
        <v>1378</v>
      </c>
      <c r="K1" t="s">
        <v>8</v>
      </c>
      <c r="L1" t="s">
        <v>9</v>
      </c>
      <c r="M1" t="s">
        <v>10</v>
      </c>
      <c r="N1" t="s">
        <v>1414</v>
      </c>
      <c r="O1" t="s">
        <v>12</v>
      </c>
      <c r="P1" t="s">
        <v>13</v>
      </c>
      <c r="Q1" t="s">
        <v>14</v>
      </c>
      <c r="R1" t="s">
        <v>15</v>
      </c>
      <c r="S1" t="s">
        <v>16</v>
      </c>
      <c r="T1" t="s">
        <v>17</v>
      </c>
      <c r="U1" t="s">
        <v>18</v>
      </c>
      <c r="V1" t="s">
        <v>19</v>
      </c>
      <c r="W1" t="s">
        <v>20</v>
      </c>
      <c r="X1" t="s">
        <v>21</v>
      </c>
    </row>
    <row r="2" spans="1:24" hidden="1" x14ac:dyDescent="0.25">
      <c r="A2" t="s">
        <v>22</v>
      </c>
      <c r="B2" t="s">
        <v>23</v>
      </c>
      <c r="C2" t="s">
        <v>24</v>
      </c>
      <c r="D2">
        <v>54</v>
      </c>
      <c r="E2" s="1">
        <v>44958</v>
      </c>
      <c r="F2" t="s">
        <v>25</v>
      </c>
      <c r="G2" t="s">
        <v>26</v>
      </c>
      <c r="H2" t="str">
        <f>INDEX(Table1[Diagnosis],MATCH(I2,'codeand diagnosis'!$A$2:$A$11,0))</f>
        <v>Gingivitis</v>
      </c>
      <c r="I2" t="s">
        <v>27</v>
      </c>
      <c r="J2" t="str">
        <f>INDEX(Table1[ICD-10 Code],MATCH(Table2[[#This Row],[Treatment]],Table1[Treatment Type],0))</f>
        <v>K05.10</v>
      </c>
      <c r="K2" t="s">
        <v>28</v>
      </c>
      <c r="L2" t="s">
        <v>28</v>
      </c>
      <c r="M2" t="s">
        <v>29</v>
      </c>
      <c r="N2">
        <f>Table2[[#This Row],[Total Paid]]+Table2[[#This Row],[Due]]</f>
        <v>411</v>
      </c>
      <c r="O2">
        <v>411</v>
      </c>
      <c r="P2">
        <v>0</v>
      </c>
      <c r="Q2">
        <v>0</v>
      </c>
      <c r="R2">
        <v>0</v>
      </c>
      <c r="S2">
        <v>0</v>
      </c>
      <c r="T2">
        <v>411</v>
      </c>
      <c r="U2">
        <v>0</v>
      </c>
      <c r="V2">
        <v>411</v>
      </c>
      <c r="W2" t="s">
        <v>30</v>
      </c>
      <c r="X2" s="6" t="s">
        <v>31</v>
      </c>
    </row>
    <row r="3" spans="1:24" hidden="1" x14ac:dyDescent="0.25">
      <c r="A3" t="s">
        <v>32</v>
      </c>
      <c r="B3" t="s">
        <v>33</v>
      </c>
      <c r="C3" t="s">
        <v>34</v>
      </c>
      <c r="D3">
        <v>73</v>
      </c>
      <c r="E3" s="1">
        <v>44958</v>
      </c>
      <c r="F3" t="s">
        <v>35</v>
      </c>
      <c r="G3" t="s">
        <v>36</v>
      </c>
      <c r="H3" t="str">
        <f>INDEX(Table1[Diagnosis],MATCH(I3,'codeand diagnosis'!$A$2:$A$11,0))</f>
        <v>Dental examination with radiology</v>
      </c>
      <c r="I3" t="s">
        <v>37</v>
      </c>
      <c r="J3" t="str">
        <f>INDEX(Table1[ICD-10 Code],MATCH(Table2[[#This Row],[Treatment]],Table1[Treatment Type],0))</f>
        <v>Z01.2</v>
      </c>
      <c r="K3" t="s">
        <v>28</v>
      </c>
      <c r="L3" t="s">
        <v>38</v>
      </c>
      <c r="M3" t="s">
        <v>29</v>
      </c>
      <c r="N3">
        <f>Table2[[#This Row],[Total Paid]]+Table2[[#This Row],[Due]]</f>
        <v>350</v>
      </c>
      <c r="O3">
        <v>0</v>
      </c>
      <c r="P3">
        <v>150</v>
      </c>
      <c r="Q3">
        <v>200</v>
      </c>
      <c r="R3">
        <v>0</v>
      </c>
      <c r="S3">
        <v>0</v>
      </c>
      <c r="T3">
        <v>350</v>
      </c>
      <c r="U3">
        <v>0</v>
      </c>
      <c r="V3">
        <v>350</v>
      </c>
      <c r="W3" t="s">
        <v>30</v>
      </c>
      <c r="X3" s="6" t="s">
        <v>31</v>
      </c>
    </row>
    <row r="4" spans="1:24" hidden="1" x14ac:dyDescent="0.25">
      <c r="A4" t="s">
        <v>39</v>
      </c>
      <c r="B4" t="s">
        <v>40</v>
      </c>
      <c r="C4" t="s">
        <v>24</v>
      </c>
      <c r="D4">
        <v>57</v>
      </c>
      <c r="E4" s="1">
        <v>44986</v>
      </c>
      <c r="F4" t="s">
        <v>35</v>
      </c>
      <c r="G4" t="s">
        <v>36</v>
      </c>
      <c r="H4" t="str">
        <f>INDEX(Table1[Diagnosis],MATCH(I4,'codeand diagnosis'!$A$2:$A$11,0))</f>
        <v>Dental caries</v>
      </c>
      <c r="I4" t="s">
        <v>41</v>
      </c>
      <c r="J4" t="str">
        <f>INDEX(Table1[ICD-10 Code],MATCH(Table2[[#This Row],[Treatment]],Table1[Treatment Type],0))</f>
        <v>K02.9</v>
      </c>
      <c r="K4" t="s">
        <v>28</v>
      </c>
      <c r="L4" t="s">
        <v>28</v>
      </c>
      <c r="M4" t="s">
        <v>29</v>
      </c>
      <c r="N4">
        <f>Table2[[#This Row],[Total Paid]]+Table2[[#This Row],[Due]]</f>
        <v>1068</v>
      </c>
      <c r="O4">
        <v>1068</v>
      </c>
      <c r="P4">
        <v>0</v>
      </c>
      <c r="Q4">
        <v>0</v>
      </c>
      <c r="R4">
        <v>0</v>
      </c>
      <c r="S4">
        <v>0</v>
      </c>
      <c r="T4">
        <v>1068</v>
      </c>
      <c r="U4">
        <v>0</v>
      </c>
      <c r="V4">
        <v>1068</v>
      </c>
      <c r="W4" t="s">
        <v>42</v>
      </c>
      <c r="X4" s="6" t="s">
        <v>31</v>
      </c>
    </row>
    <row r="5" spans="1:24" hidden="1" x14ac:dyDescent="0.25">
      <c r="A5" t="s">
        <v>43</v>
      </c>
      <c r="B5" t="s">
        <v>44</v>
      </c>
      <c r="C5" t="s">
        <v>34</v>
      </c>
      <c r="D5">
        <v>73</v>
      </c>
      <c r="E5" s="1">
        <v>44986</v>
      </c>
      <c r="F5" t="s">
        <v>35</v>
      </c>
      <c r="G5" t="s">
        <v>36</v>
      </c>
      <c r="H5" t="str">
        <f>INDEX(Table1[Diagnosis],MATCH(I5,'codeand diagnosis'!$A$2:$A$11,0))</f>
        <v>Dental examination</v>
      </c>
      <c r="I5" t="s">
        <v>45</v>
      </c>
      <c r="J5" t="str">
        <f>INDEX(Table1[ICD-10 Code],MATCH(Table2[[#This Row],[Treatment]],Table1[Treatment Type],0))</f>
        <v>Z01.2</v>
      </c>
      <c r="K5" t="s">
        <v>28</v>
      </c>
      <c r="L5" t="s">
        <v>28</v>
      </c>
      <c r="M5" t="s">
        <v>46</v>
      </c>
      <c r="N5">
        <f>Table2[[#This Row],[Total Paid]]+Table2[[#This Row],[Due]]</f>
        <v>120</v>
      </c>
      <c r="O5">
        <v>0</v>
      </c>
      <c r="P5">
        <v>0</v>
      </c>
      <c r="Q5">
        <v>200</v>
      </c>
      <c r="R5">
        <v>0</v>
      </c>
      <c r="S5">
        <v>80</v>
      </c>
      <c r="T5">
        <v>120</v>
      </c>
      <c r="U5">
        <v>0</v>
      </c>
      <c r="V5">
        <v>120</v>
      </c>
      <c r="W5" t="s">
        <v>47</v>
      </c>
      <c r="X5" s="6" t="s">
        <v>31</v>
      </c>
    </row>
    <row r="6" spans="1:24" hidden="1" x14ac:dyDescent="0.25">
      <c r="A6" t="s">
        <v>48</v>
      </c>
      <c r="B6" t="s">
        <v>49</v>
      </c>
      <c r="C6" t="s">
        <v>34</v>
      </c>
      <c r="D6">
        <v>16</v>
      </c>
      <c r="E6" s="1">
        <v>44986</v>
      </c>
      <c r="F6" t="s">
        <v>50</v>
      </c>
      <c r="G6" t="s">
        <v>36</v>
      </c>
      <c r="H6" t="str">
        <f>INDEX(Table1[Diagnosis],MATCH(I6,'codeand diagnosis'!$A$2:$A$11,0))</f>
        <v>Dental examination</v>
      </c>
      <c r="I6" t="s">
        <v>45</v>
      </c>
      <c r="J6" t="str">
        <f>INDEX(Table1[ICD-10 Code],MATCH(Table2[[#This Row],[Treatment]],Table1[Treatment Type],0))</f>
        <v>Z01.2</v>
      </c>
      <c r="K6" t="s">
        <v>28</v>
      </c>
      <c r="L6" t="s">
        <v>28</v>
      </c>
      <c r="M6" t="s">
        <v>29</v>
      </c>
      <c r="N6">
        <f>Table2[[#This Row],[Total Paid]]+Table2[[#This Row],[Due]]</f>
        <v>200</v>
      </c>
      <c r="O6">
        <v>0</v>
      </c>
      <c r="P6">
        <v>0</v>
      </c>
      <c r="Q6">
        <v>200</v>
      </c>
      <c r="R6">
        <v>0</v>
      </c>
      <c r="S6">
        <v>0</v>
      </c>
      <c r="T6">
        <v>200</v>
      </c>
      <c r="U6">
        <v>0</v>
      </c>
      <c r="V6">
        <v>200</v>
      </c>
      <c r="W6" t="s">
        <v>51</v>
      </c>
      <c r="X6" s="6" t="s">
        <v>31</v>
      </c>
    </row>
    <row r="7" spans="1:24" hidden="1" x14ac:dyDescent="0.25">
      <c r="A7" t="s">
        <v>52</v>
      </c>
      <c r="B7" t="s">
        <v>53</v>
      </c>
      <c r="C7" t="s">
        <v>34</v>
      </c>
      <c r="D7">
        <v>57</v>
      </c>
      <c r="E7" s="1">
        <v>45017</v>
      </c>
      <c r="F7" t="s">
        <v>54</v>
      </c>
      <c r="G7" t="s">
        <v>26</v>
      </c>
      <c r="H7" t="str">
        <f>INDEX(Table1[Diagnosis],MATCH(I7,'codeand diagnosis'!$A$2:$A$11,0))</f>
        <v>Cosmetic procedure</v>
      </c>
      <c r="I7" t="s">
        <v>55</v>
      </c>
      <c r="J7" t="str">
        <f>INDEX(Table1[ICD-10 Code],MATCH(Table2[[#This Row],[Treatment]],Table1[Treatment Type],0))</f>
        <v>Z41.1</v>
      </c>
      <c r="K7" t="s">
        <v>28</v>
      </c>
      <c r="L7" t="s">
        <v>38</v>
      </c>
      <c r="M7" t="s">
        <v>29</v>
      </c>
      <c r="N7">
        <f>Table2[[#This Row],[Total Paid]]+Table2[[#This Row],[Due]]</f>
        <v>1602</v>
      </c>
      <c r="O7">
        <v>1602</v>
      </c>
      <c r="P7">
        <v>0</v>
      </c>
      <c r="Q7">
        <v>0</v>
      </c>
      <c r="R7">
        <v>0</v>
      </c>
      <c r="S7">
        <v>0</v>
      </c>
      <c r="T7">
        <v>1602</v>
      </c>
      <c r="U7">
        <v>0</v>
      </c>
      <c r="V7">
        <v>1602</v>
      </c>
      <c r="W7" t="s">
        <v>42</v>
      </c>
      <c r="X7" s="6" t="s">
        <v>31</v>
      </c>
    </row>
    <row r="8" spans="1:24" hidden="1" x14ac:dyDescent="0.25">
      <c r="A8" t="s">
        <v>56</v>
      </c>
      <c r="B8" t="s">
        <v>57</v>
      </c>
      <c r="C8" t="s">
        <v>24</v>
      </c>
      <c r="D8">
        <v>67</v>
      </c>
      <c r="E8" s="1">
        <v>45017</v>
      </c>
      <c r="F8" t="s">
        <v>50</v>
      </c>
      <c r="G8" t="s">
        <v>26</v>
      </c>
      <c r="H8" t="str">
        <f>INDEX(Table1[Diagnosis],MATCH(I8,'codeand diagnosis'!$A$2:$A$11,0))</f>
        <v>Cosmetic procedure</v>
      </c>
      <c r="I8" t="s">
        <v>55</v>
      </c>
      <c r="J8" t="str">
        <f>INDEX(Table1[ICD-10 Code],MATCH(Table2[[#This Row],[Treatment]],Table1[Treatment Type],0))</f>
        <v>Z41.1</v>
      </c>
      <c r="K8" t="s">
        <v>28</v>
      </c>
      <c r="L8" t="s">
        <v>38</v>
      </c>
      <c r="M8" t="s">
        <v>29</v>
      </c>
      <c r="N8">
        <f>Table2[[#This Row],[Total Paid]]+Table2[[#This Row],[Due]]</f>
        <v>1653</v>
      </c>
      <c r="O8">
        <v>1653</v>
      </c>
      <c r="P8">
        <v>0</v>
      </c>
      <c r="Q8">
        <v>0</v>
      </c>
      <c r="R8">
        <v>0</v>
      </c>
      <c r="S8">
        <v>0</v>
      </c>
      <c r="T8">
        <v>1653</v>
      </c>
      <c r="U8">
        <v>0</v>
      </c>
      <c r="V8">
        <v>1653</v>
      </c>
      <c r="W8" t="s">
        <v>51</v>
      </c>
      <c r="X8" s="6" t="s">
        <v>31</v>
      </c>
    </row>
    <row r="9" spans="1:24" hidden="1" x14ac:dyDescent="0.25">
      <c r="A9" t="s">
        <v>58</v>
      </c>
      <c r="B9" t="s">
        <v>59</v>
      </c>
      <c r="C9" t="s">
        <v>34</v>
      </c>
      <c r="D9">
        <v>67</v>
      </c>
      <c r="E9" s="1">
        <v>45047</v>
      </c>
      <c r="F9" t="s">
        <v>60</v>
      </c>
      <c r="G9" t="s">
        <v>36</v>
      </c>
      <c r="H9" t="str">
        <f>INDEX(Table1[Diagnosis],MATCH(I9,'codeand diagnosis'!$A$2:$A$11,0))</f>
        <v>Dental examination with radiology</v>
      </c>
      <c r="I9" t="s">
        <v>37</v>
      </c>
      <c r="J9" t="str">
        <f>INDEX(Table1[ICD-10 Code],MATCH(Table2[[#This Row],[Treatment]],Table1[Treatment Type],0))</f>
        <v>Z01.2</v>
      </c>
      <c r="K9" t="s">
        <v>28</v>
      </c>
      <c r="L9" t="s">
        <v>38</v>
      </c>
      <c r="M9" t="s">
        <v>61</v>
      </c>
      <c r="N9">
        <f>Table2[[#This Row],[Total Paid]]+Table2[[#This Row],[Due]]</f>
        <v>350</v>
      </c>
      <c r="O9">
        <v>0</v>
      </c>
      <c r="P9">
        <v>150</v>
      </c>
      <c r="Q9">
        <v>200</v>
      </c>
      <c r="R9">
        <v>0</v>
      </c>
      <c r="S9">
        <v>0</v>
      </c>
      <c r="T9">
        <v>350</v>
      </c>
      <c r="U9">
        <v>0</v>
      </c>
      <c r="V9">
        <v>350</v>
      </c>
      <c r="W9" t="s">
        <v>42</v>
      </c>
      <c r="X9" s="6" t="s">
        <v>31</v>
      </c>
    </row>
    <row r="10" spans="1:24" hidden="1" x14ac:dyDescent="0.25">
      <c r="A10" t="s">
        <v>62</v>
      </c>
      <c r="B10" t="s">
        <v>63</v>
      </c>
      <c r="C10" t="s">
        <v>24</v>
      </c>
      <c r="D10">
        <v>13</v>
      </c>
      <c r="E10" s="1">
        <v>45047</v>
      </c>
      <c r="F10" t="s">
        <v>54</v>
      </c>
      <c r="G10" t="s">
        <v>26</v>
      </c>
      <c r="H10" t="str">
        <f>INDEX(Table1[Diagnosis],MATCH(I10,'codeand diagnosis'!$A$2:$A$11,0))</f>
        <v>Dental examination</v>
      </c>
      <c r="I10" t="s">
        <v>45</v>
      </c>
      <c r="J10" t="str">
        <f>INDEX(Table1[ICD-10 Code],MATCH(Table2[[#This Row],[Treatment]],Table1[Treatment Type],0))</f>
        <v>Z01.2</v>
      </c>
      <c r="K10" t="s">
        <v>28</v>
      </c>
      <c r="L10" t="s">
        <v>28</v>
      </c>
      <c r="M10" t="s">
        <v>29</v>
      </c>
      <c r="N10">
        <f>Table2[[#This Row],[Total Paid]]+Table2[[#This Row],[Due]]</f>
        <v>200</v>
      </c>
      <c r="O10">
        <v>0</v>
      </c>
      <c r="P10">
        <v>0</v>
      </c>
      <c r="Q10">
        <v>200</v>
      </c>
      <c r="R10">
        <v>0</v>
      </c>
      <c r="S10">
        <v>0</v>
      </c>
      <c r="T10">
        <v>200</v>
      </c>
      <c r="U10">
        <v>0</v>
      </c>
      <c r="V10">
        <v>200</v>
      </c>
      <c r="W10" t="s">
        <v>30</v>
      </c>
      <c r="X10" s="6" t="s">
        <v>31</v>
      </c>
    </row>
    <row r="11" spans="1:24" hidden="1" x14ac:dyDescent="0.25">
      <c r="A11" t="s">
        <v>64</v>
      </c>
      <c r="B11" t="s">
        <v>65</v>
      </c>
      <c r="C11" t="s">
        <v>24</v>
      </c>
      <c r="D11">
        <v>30</v>
      </c>
      <c r="E11" s="1">
        <v>45078</v>
      </c>
      <c r="F11" t="s">
        <v>50</v>
      </c>
      <c r="G11" t="s">
        <v>26</v>
      </c>
      <c r="H11" t="str">
        <f>INDEX(Table1[Diagnosis],MATCH(I11,'codeand diagnosis'!$A$2:$A$11,0))</f>
        <v>Dental examination with radiology</v>
      </c>
      <c r="I11" t="s">
        <v>37</v>
      </c>
      <c r="J11" t="str">
        <f>INDEX(Table1[ICD-10 Code],MATCH(Table2[[#This Row],[Treatment]],Table1[Treatment Type],0))</f>
        <v>Z01.2</v>
      </c>
      <c r="K11" t="s">
        <v>28</v>
      </c>
      <c r="L11" t="s">
        <v>38</v>
      </c>
      <c r="M11" t="s">
        <v>29</v>
      </c>
      <c r="N11">
        <f>Table2[[#This Row],[Total Paid]]+Table2[[#This Row],[Due]]</f>
        <v>210</v>
      </c>
      <c r="O11">
        <v>0</v>
      </c>
      <c r="P11">
        <v>150</v>
      </c>
      <c r="Q11">
        <v>200</v>
      </c>
      <c r="R11">
        <v>0</v>
      </c>
      <c r="S11">
        <v>140</v>
      </c>
      <c r="T11">
        <v>210</v>
      </c>
      <c r="U11">
        <v>0</v>
      </c>
      <c r="V11">
        <v>210</v>
      </c>
      <c r="W11" t="s">
        <v>42</v>
      </c>
      <c r="X11" s="6" t="s">
        <v>31</v>
      </c>
    </row>
    <row r="12" spans="1:24" hidden="1" x14ac:dyDescent="0.25">
      <c r="A12" t="s">
        <v>66</v>
      </c>
      <c r="B12" t="s">
        <v>67</v>
      </c>
      <c r="C12" t="s">
        <v>24</v>
      </c>
      <c r="D12">
        <v>80</v>
      </c>
      <c r="E12" s="1">
        <v>45078</v>
      </c>
      <c r="F12" t="s">
        <v>50</v>
      </c>
      <c r="G12" t="s">
        <v>36</v>
      </c>
      <c r="H12" t="str">
        <f>INDEX(Table1[Diagnosis],MATCH(I12,'codeand diagnosis'!$A$2:$A$11,0))</f>
        <v>Loss of teeth</v>
      </c>
      <c r="I12" t="s">
        <v>68</v>
      </c>
      <c r="J12" t="str">
        <f>INDEX(Table1[ICD-10 Code],MATCH(Table2[[#This Row],[Treatment]],Table1[Treatment Type],0))</f>
        <v>K08.1</v>
      </c>
      <c r="K12" t="s">
        <v>28</v>
      </c>
      <c r="L12" t="s">
        <v>38</v>
      </c>
      <c r="M12" t="s">
        <v>61</v>
      </c>
      <c r="N12">
        <f>Table2[[#This Row],[Total Paid]]+Table2[[#This Row],[Due]]</f>
        <v>333</v>
      </c>
      <c r="O12">
        <v>533</v>
      </c>
      <c r="P12">
        <v>0</v>
      </c>
      <c r="Q12">
        <v>0</v>
      </c>
      <c r="R12">
        <v>0</v>
      </c>
      <c r="S12">
        <v>200</v>
      </c>
      <c r="T12">
        <v>333</v>
      </c>
      <c r="U12">
        <v>0</v>
      </c>
      <c r="V12">
        <v>333</v>
      </c>
      <c r="W12" t="s">
        <v>51</v>
      </c>
      <c r="X12" s="6" t="s">
        <v>31</v>
      </c>
    </row>
    <row r="13" spans="1:24" hidden="1" x14ac:dyDescent="0.25">
      <c r="A13" t="s">
        <v>69</v>
      </c>
      <c r="B13" t="s">
        <v>70</v>
      </c>
      <c r="C13" t="s">
        <v>24</v>
      </c>
      <c r="D13">
        <v>73</v>
      </c>
      <c r="E13" s="1">
        <v>45108</v>
      </c>
      <c r="F13" t="s">
        <v>50</v>
      </c>
      <c r="G13" t="s">
        <v>26</v>
      </c>
      <c r="H13" t="str">
        <f>INDEX(Table1[Diagnosis],MATCH(I13,'codeand diagnosis'!$A$2:$A$11,0))</f>
        <v>Dental examination</v>
      </c>
      <c r="I13" t="s">
        <v>45</v>
      </c>
      <c r="J13" t="str">
        <f>INDEX(Table1[ICD-10 Code],MATCH(Table2[[#This Row],[Treatment]],Table1[Treatment Type],0))</f>
        <v>Z01.2</v>
      </c>
      <c r="K13" t="s">
        <v>28</v>
      </c>
      <c r="L13" t="s">
        <v>28</v>
      </c>
      <c r="M13" t="s">
        <v>61</v>
      </c>
      <c r="N13">
        <f>Table2[[#This Row],[Total Paid]]+Table2[[#This Row],[Due]]</f>
        <v>200</v>
      </c>
      <c r="O13">
        <v>0</v>
      </c>
      <c r="P13">
        <v>0</v>
      </c>
      <c r="Q13">
        <v>200</v>
      </c>
      <c r="R13">
        <v>0</v>
      </c>
      <c r="S13">
        <v>0</v>
      </c>
      <c r="T13">
        <v>200</v>
      </c>
      <c r="U13">
        <v>0</v>
      </c>
      <c r="V13">
        <v>200</v>
      </c>
      <c r="W13" t="s">
        <v>42</v>
      </c>
      <c r="X13" s="6" t="s">
        <v>31</v>
      </c>
    </row>
    <row r="14" spans="1:24" hidden="1" x14ac:dyDescent="0.25">
      <c r="A14" t="s">
        <v>71</v>
      </c>
      <c r="B14" t="s">
        <v>67</v>
      </c>
      <c r="C14" t="s">
        <v>24</v>
      </c>
      <c r="D14">
        <v>53</v>
      </c>
      <c r="E14" s="1">
        <v>45108</v>
      </c>
      <c r="F14" t="s">
        <v>50</v>
      </c>
      <c r="G14" t="s">
        <v>26</v>
      </c>
      <c r="H14" t="str">
        <f>INDEX(Table1[Diagnosis],MATCH(I14,'codeand diagnosis'!$A$2:$A$11,0))</f>
        <v>Dental examination</v>
      </c>
      <c r="I14" t="s">
        <v>45</v>
      </c>
      <c r="J14" t="str">
        <f>INDEX(Table1[ICD-10 Code],MATCH(Table2[[#This Row],[Treatment]],Table1[Treatment Type],0))</f>
        <v>Z01.2</v>
      </c>
      <c r="K14" t="s">
        <v>28</v>
      </c>
      <c r="L14" t="s">
        <v>28</v>
      </c>
      <c r="M14" t="s">
        <v>29</v>
      </c>
      <c r="N14">
        <f>Table2[[#This Row],[Total Paid]]+Table2[[#This Row],[Due]]</f>
        <v>200</v>
      </c>
      <c r="O14">
        <v>0</v>
      </c>
      <c r="P14">
        <v>0</v>
      </c>
      <c r="Q14">
        <v>200</v>
      </c>
      <c r="R14">
        <v>0</v>
      </c>
      <c r="S14">
        <v>0</v>
      </c>
      <c r="T14">
        <v>200</v>
      </c>
      <c r="U14">
        <v>0</v>
      </c>
      <c r="V14">
        <v>200</v>
      </c>
      <c r="W14" t="s">
        <v>51</v>
      </c>
      <c r="X14" s="6" t="s">
        <v>31</v>
      </c>
    </row>
    <row r="15" spans="1:24" hidden="1" x14ac:dyDescent="0.25">
      <c r="A15" t="s">
        <v>72</v>
      </c>
      <c r="B15" t="s">
        <v>73</v>
      </c>
      <c r="C15" t="s">
        <v>34</v>
      </c>
      <c r="D15">
        <v>65</v>
      </c>
      <c r="E15" s="1">
        <v>45170</v>
      </c>
      <c r="F15" t="s">
        <v>35</v>
      </c>
      <c r="G15" t="s">
        <v>26</v>
      </c>
      <c r="H15" t="str">
        <f>INDEX(Table1[Diagnosis],MATCH(I15,'codeand diagnosis'!$A$2:$A$11,0))</f>
        <v>Dental examination with radiology</v>
      </c>
      <c r="I15" t="s">
        <v>37</v>
      </c>
      <c r="J15" t="str">
        <f>INDEX(Table1[ICD-10 Code],MATCH(Table2[[#This Row],[Treatment]],Table1[Treatment Type],0))</f>
        <v>Z01.2</v>
      </c>
      <c r="K15" t="s">
        <v>28</v>
      </c>
      <c r="L15" t="s">
        <v>38</v>
      </c>
      <c r="M15" t="s">
        <v>29</v>
      </c>
      <c r="N15">
        <f>Table2[[#This Row],[Total Paid]]+Table2[[#This Row],[Due]]</f>
        <v>210</v>
      </c>
      <c r="O15">
        <v>0</v>
      </c>
      <c r="P15">
        <v>150</v>
      </c>
      <c r="Q15">
        <v>200</v>
      </c>
      <c r="R15">
        <v>0</v>
      </c>
      <c r="S15">
        <v>140</v>
      </c>
      <c r="T15">
        <v>210</v>
      </c>
      <c r="U15">
        <v>0</v>
      </c>
      <c r="V15">
        <v>210</v>
      </c>
      <c r="W15" t="s">
        <v>42</v>
      </c>
      <c r="X15" s="6" t="s">
        <v>31</v>
      </c>
    </row>
    <row r="16" spans="1:24" hidden="1" x14ac:dyDescent="0.25">
      <c r="A16" t="s">
        <v>74</v>
      </c>
      <c r="B16" t="s">
        <v>75</v>
      </c>
      <c r="C16" t="s">
        <v>24</v>
      </c>
      <c r="D16">
        <v>36</v>
      </c>
      <c r="E16" s="1">
        <v>45231</v>
      </c>
      <c r="F16" t="s">
        <v>50</v>
      </c>
      <c r="G16" t="s">
        <v>26</v>
      </c>
      <c r="H16" t="str">
        <f>INDEX(Table1[Diagnosis],MATCH(I16,'codeand diagnosis'!$A$2:$A$11,0))</f>
        <v>Dental examination with radiology</v>
      </c>
      <c r="I16" t="s">
        <v>37</v>
      </c>
      <c r="J16" t="str">
        <f>INDEX(Table1[ICD-10 Code],MATCH(Table2[[#This Row],[Treatment]],Table1[Treatment Type],0))</f>
        <v>Z01.2</v>
      </c>
      <c r="K16" t="s">
        <v>28</v>
      </c>
      <c r="L16" t="s">
        <v>38</v>
      </c>
      <c r="M16" t="s">
        <v>61</v>
      </c>
      <c r="N16">
        <f>Table2[[#This Row],[Total Paid]]+Table2[[#This Row],[Due]]</f>
        <v>350</v>
      </c>
      <c r="O16">
        <v>0</v>
      </c>
      <c r="P16">
        <v>150</v>
      </c>
      <c r="Q16">
        <v>200</v>
      </c>
      <c r="R16">
        <v>0</v>
      </c>
      <c r="S16">
        <v>0</v>
      </c>
      <c r="T16">
        <v>350</v>
      </c>
      <c r="U16">
        <v>0</v>
      </c>
      <c r="V16">
        <v>350</v>
      </c>
      <c r="W16" t="s">
        <v>47</v>
      </c>
      <c r="X16" s="6" t="s">
        <v>31</v>
      </c>
    </row>
    <row r="17" spans="1:24" hidden="1" x14ac:dyDescent="0.25">
      <c r="A17" t="s">
        <v>76</v>
      </c>
      <c r="B17" t="s">
        <v>77</v>
      </c>
      <c r="C17" t="s">
        <v>34</v>
      </c>
      <c r="D17">
        <v>43</v>
      </c>
      <c r="E17" s="1">
        <v>45231</v>
      </c>
      <c r="F17" t="s">
        <v>35</v>
      </c>
      <c r="G17" t="s">
        <v>26</v>
      </c>
      <c r="H17" t="str">
        <f>INDEX(Table1[Diagnosis],MATCH(I17,'codeand diagnosis'!$A$2:$A$11,0))</f>
        <v>Missing teeth</v>
      </c>
      <c r="I17" t="s">
        <v>78</v>
      </c>
      <c r="J17" t="str">
        <f>INDEX(Table1[ICD-10 Code],MATCH(Table2[[#This Row],[Treatment]],Table1[Treatment Type],0))</f>
        <v>K08.1</v>
      </c>
      <c r="K17" t="s">
        <v>28</v>
      </c>
      <c r="L17" t="s">
        <v>38</v>
      </c>
      <c r="M17" t="s">
        <v>29</v>
      </c>
      <c r="N17">
        <f>Table2[[#This Row],[Total Paid]]+Table2[[#This Row],[Due]]</f>
        <v>26320</v>
      </c>
      <c r="O17">
        <v>26320</v>
      </c>
      <c r="P17">
        <v>0</v>
      </c>
      <c r="Q17">
        <v>0</v>
      </c>
      <c r="R17">
        <v>8930</v>
      </c>
      <c r="S17">
        <v>0</v>
      </c>
      <c r="T17">
        <v>26320</v>
      </c>
      <c r="U17">
        <v>0</v>
      </c>
      <c r="V17">
        <v>17390</v>
      </c>
      <c r="W17" t="s">
        <v>51</v>
      </c>
      <c r="X17" s="6" t="s">
        <v>31</v>
      </c>
    </row>
    <row r="18" spans="1:24" hidden="1" x14ac:dyDescent="0.25">
      <c r="A18" t="s">
        <v>79</v>
      </c>
      <c r="B18" t="s">
        <v>80</v>
      </c>
      <c r="C18" t="s">
        <v>34</v>
      </c>
      <c r="D18">
        <v>48</v>
      </c>
      <c r="E18" s="1">
        <v>45231</v>
      </c>
      <c r="F18" t="s">
        <v>50</v>
      </c>
      <c r="G18" t="s">
        <v>36</v>
      </c>
      <c r="H18" t="str">
        <f>INDEX(Table1[Diagnosis],MATCH(I18,'codeand diagnosis'!$A$2:$A$11,0))</f>
        <v>Dental examination with radiology</v>
      </c>
      <c r="I18" t="s">
        <v>37</v>
      </c>
      <c r="J18" t="str">
        <f>INDEX(Table1[ICD-10 Code],MATCH(Table2[[#This Row],[Treatment]],Table1[Treatment Type],0))</f>
        <v>Z01.2</v>
      </c>
      <c r="K18" t="s">
        <v>28</v>
      </c>
      <c r="L18" t="s">
        <v>38</v>
      </c>
      <c r="M18" t="s">
        <v>29</v>
      </c>
      <c r="N18">
        <f>Table2[[#This Row],[Total Paid]]+Table2[[#This Row],[Due]]</f>
        <v>300</v>
      </c>
      <c r="O18">
        <v>0</v>
      </c>
      <c r="P18">
        <v>150</v>
      </c>
      <c r="Q18">
        <v>200</v>
      </c>
      <c r="R18">
        <v>0</v>
      </c>
      <c r="S18">
        <v>50</v>
      </c>
      <c r="T18">
        <v>300</v>
      </c>
      <c r="U18">
        <v>0</v>
      </c>
      <c r="V18">
        <v>300</v>
      </c>
      <c r="W18" t="s">
        <v>51</v>
      </c>
      <c r="X18" s="6" t="s">
        <v>31</v>
      </c>
    </row>
    <row r="19" spans="1:24" hidden="1" x14ac:dyDescent="0.25">
      <c r="A19" t="s">
        <v>81</v>
      </c>
      <c r="B19" t="s">
        <v>82</v>
      </c>
      <c r="C19" t="s">
        <v>24</v>
      </c>
      <c r="D19">
        <v>59</v>
      </c>
      <c r="E19" s="1">
        <v>45261</v>
      </c>
      <c r="F19" t="s">
        <v>35</v>
      </c>
      <c r="G19" t="s">
        <v>26</v>
      </c>
      <c r="H19" t="str">
        <f>INDEX(Table1[Diagnosis],MATCH(I19,'codeand diagnosis'!$A$2:$A$11,0))</f>
        <v>Gingivitis</v>
      </c>
      <c r="I19" t="s">
        <v>27</v>
      </c>
      <c r="J19" t="str">
        <f>INDEX(Table1[ICD-10 Code],MATCH(Table2[[#This Row],[Treatment]],Table1[Treatment Type],0))</f>
        <v>K05.10</v>
      </c>
      <c r="K19" t="s">
        <v>28</v>
      </c>
      <c r="L19" t="s">
        <v>38</v>
      </c>
      <c r="M19" t="s">
        <v>46</v>
      </c>
      <c r="N19">
        <f>Table2[[#This Row],[Total Paid]]+Table2[[#This Row],[Due]]</f>
        <v>413</v>
      </c>
      <c r="O19">
        <v>413</v>
      </c>
      <c r="P19">
        <v>0</v>
      </c>
      <c r="Q19">
        <v>0</v>
      </c>
      <c r="R19">
        <v>0</v>
      </c>
      <c r="S19">
        <v>0</v>
      </c>
      <c r="T19">
        <v>413</v>
      </c>
      <c r="U19">
        <v>0</v>
      </c>
      <c r="V19">
        <v>413</v>
      </c>
      <c r="W19" t="s">
        <v>42</v>
      </c>
      <c r="X19" s="6" t="s">
        <v>31</v>
      </c>
    </row>
    <row r="20" spans="1:24" hidden="1" x14ac:dyDescent="0.25">
      <c r="A20" t="s">
        <v>83</v>
      </c>
      <c r="B20" t="s">
        <v>84</v>
      </c>
      <c r="C20" t="s">
        <v>34</v>
      </c>
      <c r="D20">
        <v>62</v>
      </c>
      <c r="E20" s="1">
        <v>45261</v>
      </c>
      <c r="F20" t="s">
        <v>50</v>
      </c>
      <c r="G20" t="s">
        <v>26</v>
      </c>
      <c r="H20" t="str">
        <f>INDEX(Table1[Diagnosis],MATCH(I20,'codeand diagnosis'!$A$2:$A$11,0))</f>
        <v>Dental examination with radiology</v>
      </c>
      <c r="I20" t="s">
        <v>37</v>
      </c>
      <c r="J20" t="str">
        <f>INDEX(Table1[ICD-10 Code],MATCH(Table2[[#This Row],[Treatment]],Table1[Treatment Type],0))</f>
        <v>Z01.2</v>
      </c>
      <c r="K20" t="s">
        <v>28</v>
      </c>
      <c r="L20" t="s">
        <v>38</v>
      </c>
      <c r="M20" t="s">
        <v>29</v>
      </c>
      <c r="N20">
        <f>Table2[[#This Row],[Total Paid]]+Table2[[#This Row],[Due]]</f>
        <v>210</v>
      </c>
      <c r="O20">
        <v>0</v>
      </c>
      <c r="P20">
        <v>150</v>
      </c>
      <c r="Q20">
        <v>200</v>
      </c>
      <c r="R20">
        <v>0</v>
      </c>
      <c r="S20">
        <v>140</v>
      </c>
      <c r="T20">
        <v>210</v>
      </c>
      <c r="U20">
        <v>0</v>
      </c>
      <c r="V20">
        <v>210</v>
      </c>
      <c r="W20" t="s">
        <v>30</v>
      </c>
      <c r="X20" s="6" t="s">
        <v>31</v>
      </c>
    </row>
    <row r="21" spans="1:24" hidden="1" x14ac:dyDescent="0.25">
      <c r="A21" t="s">
        <v>85</v>
      </c>
      <c r="B21" t="s">
        <v>86</v>
      </c>
      <c r="C21" t="s">
        <v>34</v>
      </c>
      <c r="D21">
        <v>73</v>
      </c>
      <c r="E21" t="s">
        <v>87</v>
      </c>
      <c r="F21" t="s">
        <v>88</v>
      </c>
      <c r="G21" t="s">
        <v>26</v>
      </c>
      <c r="H21" t="str">
        <f>INDEX(Table1[Diagnosis],MATCH(I21,'codeand diagnosis'!$A$2:$A$11,0))</f>
        <v>Malocclusion</v>
      </c>
      <c r="I21" t="s">
        <v>89</v>
      </c>
      <c r="J21" t="str">
        <f>INDEX(Table1[ICD-10 Code],MATCH(Table2[[#This Row],[Treatment]],Table1[Treatment Type],0))</f>
        <v>K07.4</v>
      </c>
      <c r="K21" t="s">
        <v>28</v>
      </c>
      <c r="L21" t="s">
        <v>28</v>
      </c>
      <c r="M21" t="s">
        <v>29</v>
      </c>
      <c r="N21">
        <f>Table2[[#This Row],[Total Paid]]+Table2[[#This Row],[Due]]</f>
        <v>15253</v>
      </c>
      <c r="O21">
        <v>16753</v>
      </c>
      <c r="P21">
        <v>0</v>
      </c>
      <c r="Q21">
        <v>0</v>
      </c>
      <c r="R21">
        <v>3780</v>
      </c>
      <c r="S21">
        <v>1500</v>
      </c>
      <c r="T21">
        <v>15253</v>
      </c>
      <c r="U21">
        <v>0</v>
      </c>
      <c r="V21">
        <v>11473</v>
      </c>
      <c r="W21" t="s">
        <v>30</v>
      </c>
      <c r="X21" s="6" t="s">
        <v>31</v>
      </c>
    </row>
    <row r="22" spans="1:24" hidden="1" x14ac:dyDescent="0.25">
      <c r="A22" t="s">
        <v>90</v>
      </c>
      <c r="B22" t="s">
        <v>91</v>
      </c>
      <c r="C22" t="s">
        <v>34</v>
      </c>
      <c r="D22">
        <v>68</v>
      </c>
      <c r="E22" t="s">
        <v>87</v>
      </c>
      <c r="F22" t="s">
        <v>92</v>
      </c>
      <c r="G22" t="s">
        <v>26</v>
      </c>
      <c r="H22" t="str">
        <f>INDEX(Table1[Diagnosis],MATCH(I22,'codeand diagnosis'!$A$2:$A$11,0))</f>
        <v>Dental examination</v>
      </c>
      <c r="I22" t="s">
        <v>45</v>
      </c>
      <c r="J22" t="str">
        <f>INDEX(Table1[ICD-10 Code],MATCH(Table2[[#This Row],[Treatment]],Table1[Treatment Type],0))</f>
        <v>Z01.2</v>
      </c>
      <c r="K22" t="s">
        <v>28</v>
      </c>
      <c r="L22" t="s">
        <v>28</v>
      </c>
      <c r="M22" t="s">
        <v>29</v>
      </c>
      <c r="N22">
        <f>Table2[[#This Row],[Total Paid]]+Table2[[#This Row],[Due]]</f>
        <v>120</v>
      </c>
      <c r="O22">
        <v>0</v>
      </c>
      <c r="P22">
        <v>0</v>
      </c>
      <c r="Q22">
        <v>200</v>
      </c>
      <c r="R22">
        <v>0</v>
      </c>
      <c r="S22">
        <v>80</v>
      </c>
      <c r="T22">
        <v>120</v>
      </c>
      <c r="U22">
        <v>0</v>
      </c>
      <c r="V22">
        <v>120</v>
      </c>
      <c r="W22" t="s">
        <v>47</v>
      </c>
      <c r="X22" s="6" t="s">
        <v>31</v>
      </c>
    </row>
    <row r="23" spans="1:24" hidden="1" x14ac:dyDescent="0.25">
      <c r="A23" t="s">
        <v>93</v>
      </c>
      <c r="B23" t="s">
        <v>94</v>
      </c>
      <c r="C23" t="s">
        <v>24</v>
      </c>
      <c r="D23">
        <v>47</v>
      </c>
      <c r="E23" t="s">
        <v>95</v>
      </c>
      <c r="F23" t="s">
        <v>50</v>
      </c>
      <c r="G23" t="s">
        <v>36</v>
      </c>
      <c r="H23" t="str">
        <f>INDEX(Table1[Diagnosis],MATCH(I23,'codeand diagnosis'!$A$2:$A$11,0))</f>
        <v>Dental examination with radiology</v>
      </c>
      <c r="I23" t="s">
        <v>37</v>
      </c>
      <c r="J23" t="str">
        <f>INDEX(Table1[ICD-10 Code],MATCH(Table2[[#This Row],[Treatment]],Table1[Treatment Type],0))</f>
        <v>Z01.2</v>
      </c>
      <c r="K23" t="s">
        <v>28</v>
      </c>
      <c r="L23" t="s">
        <v>38</v>
      </c>
      <c r="M23" t="s">
        <v>46</v>
      </c>
      <c r="N23">
        <f>Table2[[#This Row],[Total Paid]]+Table2[[#This Row],[Due]]</f>
        <v>250</v>
      </c>
      <c r="O23">
        <v>0</v>
      </c>
      <c r="P23">
        <v>150</v>
      </c>
      <c r="Q23">
        <v>200</v>
      </c>
      <c r="R23">
        <v>0</v>
      </c>
      <c r="S23">
        <v>100</v>
      </c>
      <c r="T23">
        <v>250</v>
      </c>
      <c r="U23">
        <v>0</v>
      </c>
      <c r="V23">
        <v>250</v>
      </c>
      <c r="W23" t="s">
        <v>47</v>
      </c>
      <c r="X23" s="6" t="s">
        <v>31</v>
      </c>
    </row>
    <row r="24" spans="1:24" hidden="1" x14ac:dyDescent="0.25">
      <c r="A24" t="s">
        <v>96</v>
      </c>
      <c r="B24" t="s">
        <v>94</v>
      </c>
      <c r="C24" t="s">
        <v>24</v>
      </c>
      <c r="D24">
        <v>67</v>
      </c>
      <c r="E24" t="s">
        <v>95</v>
      </c>
      <c r="F24" t="s">
        <v>88</v>
      </c>
      <c r="G24" t="s">
        <v>36</v>
      </c>
      <c r="H24" t="str">
        <f>INDEX(Table1[Diagnosis],MATCH(I24,'codeand diagnosis'!$A$2:$A$11,0))</f>
        <v>Gingivitis</v>
      </c>
      <c r="I24" t="s">
        <v>27</v>
      </c>
      <c r="J24" t="str">
        <f>INDEX(Table1[ICD-10 Code],MATCH(Table2[[#This Row],[Treatment]],Table1[Treatment Type],0))</f>
        <v>K05.10</v>
      </c>
      <c r="K24" t="s">
        <v>28</v>
      </c>
      <c r="L24" t="s">
        <v>28</v>
      </c>
      <c r="M24" t="s">
        <v>29</v>
      </c>
      <c r="N24">
        <f>Table2[[#This Row],[Total Paid]]+Table2[[#This Row],[Due]]</f>
        <v>397.2</v>
      </c>
      <c r="O24">
        <v>662</v>
      </c>
      <c r="P24">
        <v>0</v>
      </c>
      <c r="Q24">
        <v>0</v>
      </c>
      <c r="R24">
        <v>0</v>
      </c>
      <c r="S24">
        <v>264.8</v>
      </c>
      <c r="T24">
        <v>397.2</v>
      </c>
      <c r="U24">
        <v>0</v>
      </c>
      <c r="V24">
        <v>397.2</v>
      </c>
      <c r="W24" t="s">
        <v>47</v>
      </c>
      <c r="X24" s="6" t="s">
        <v>31</v>
      </c>
    </row>
    <row r="25" spans="1:24" hidden="1" x14ac:dyDescent="0.25">
      <c r="A25" t="s">
        <v>97</v>
      </c>
      <c r="B25" t="s">
        <v>98</v>
      </c>
      <c r="C25" t="s">
        <v>24</v>
      </c>
      <c r="D25">
        <v>45</v>
      </c>
      <c r="E25" t="s">
        <v>95</v>
      </c>
      <c r="F25" t="s">
        <v>35</v>
      </c>
      <c r="G25" t="s">
        <v>26</v>
      </c>
      <c r="H25" t="str">
        <f>INDEX(Table1[Diagnosis],MATCH(I25,'codeand diagnosis'!$A$2:$A$11,0))</f>
        <v>Dental examination</v>
      </c>
      <c r="I25" t="s">
        <v>45</v>
      </c>
      <c r="J25" t="str">
        <f>INDEX(Table1[ICD-10 Code],MATCH(Table2[[#This Row],[Treatment]],Table1[Treatment Type],0))</f>
        <v>Z01.2</v>
      </c>
      <c r="K25" t="s">
        <v>28</v>
      </c>
      <c r="L25" t="s">
        <v>28</v>
      </c>
      <c r="M25" t="s">
        <v>29</v>
      </c>
      <c r="N25">
        <f>Table2[[#This Row],[Total Paid]]+Table2[[#This Row],[Due]]</f>
        <v>200</v>
      </c>
      <c r="O25">
        <v>0</v>
      </c>
      <c r="P25">
        <v>0</v>
      </c>
      <c r="Q25">
        <v>200</v>
      </c>
      <c r="R25">
        <v>0</v>
      </c>
      <c r="S25">
        <v>0</v>
      </c>
      <c r="T25">
        <v>200</v>
      </c>
      <c r="U25">
        <v>0</v>
      </c>
      <c r="V25">
        <v>200</v>
      </c>
      <c r="W25" t="s">
        <v>47</v>
      </c>
      <c r="X25" s="6" t="s">
        <v>31</v>
      </c>
    </row>
    <row r="26" spans="1:24" hidden="1" x14ac:dyDescent="0.25">
      <c r="A26" t="s">
        <v>99</v>
      </c>
      <c r="B26" t="s">
        <v>100</v>
      </c>
      <c r="C26" t="s">
        <v>34</v>
      </c>
      <c r="D26">
        <v>23</v>
      </c>
      <c r="E26" t="s">
        <v>101</v>
      </c>
      <c r="F26" t="s">
        <v>50</v>
      </c>
      <c r="G26" t="s">
        <v>26</v>
      </c>
      <c r="H26" t="str">
        <f>INDEX(Table1[Diagnosis],MATCH(I26,'codeand diagnosis'!$A$2:$A$11,0))</f>
        <v>Dental examination</v>
      </c>
      <c r="I26" t="s">
        <v>45</v>
      </c>
      <c r="J26" t="str">
        <f>INDEX(Table1[ICD-10 Code],MATCH(Table2[[#This Row],[Treatment]],Table1[Treatment Type],0))</f>
        <v>Z01.2</v>
      </c>
      <c r="K26" t="s">
        <v>28</v>
      </c>
      <c r="L26" t="s">
        <v>28</v>
      </c>
      <c r="M26" t="s">
        <v>29</v>
      </c>
      <c r="N26">
        <f>Table2[[#This Row],[Total Paid]]+Table2[[#This Row],[Due]]</f>
        <v>200</v>
      </c>
      <c r="O26">
        <v>0</v>
      </c>
      <c r="P26">
        <v>0</v>
      </c>
      <c r="Q26">
        <v>200</v>
      </c>
      <c r="R26">
        <v>0</v>
      </c>
      <c r="S26">
        <v>0</v>
      </c>
      <c r="T26">
        <v>200</v>
      </c>
      <c r="U26">
        <v>0</v>
      </c>
      <c r="V26">
        <v>200</v>
      </c>
      <c r="W26" t="s">
        <v>42</v>
      </c>
      <c r="X26" s="6" t="s">
        <v>31</v>
      </c>
    </row>
    <row r="27" spans="1:24" hidden="1" x14ac:dyDescent="0.25">
      <c r="A27" t="s">
        <v>102</v>
      </c>
      <c r="B27" t="s">
        <v>103</v>
      </c>
      <c r="C27" t="s">
        <v>34</v>
      </c>
      <c r="D27">
        <v>72</v>
      </c>
      <c r="E27" t="s">
        <v>101</v>
      </c>
      <c r="F27" t="s">
        <v>104</v>
      </c>
      <c r="G27" t="s">
        <v>26</v>
      </c>
      <c r="H27" t="str">
        <f>INDEX(Table1[Diagnosis],MATCH(I27,'codeand diagnosis'!$A$2:$A$11,0))</f>
        <v>Dental examination with radiology</v>
      </c>
      <c r="I27" t="s">
        <v>37</v>
      </c>
      <c r="J27" t="str">
        <f>INDEX(Table1[ICD-10 Code],MATCH(Table2[[#This Row],[Treatment]],Table1[Treatment Type],0))</f>
        <v>Z01.2</v>
      </c>
      <c r="K27" t="s">
        <v>28</v>
      </c>
      <c r="L27" t="s">
        <v>38</v>
      </c>
      <c r="M27" t="s">
        <v>29</v>
      </c>
      <c r="N27">
        <f>Table2[[#This Row],[Total Paid]]+Table2[[#This Row],[Due]]</f>
        <v>350</v>
      </c>
      <c r="O27">
        <v>0</v>
      </c>
      <c r="P27">
        <v>150</v>
      </c>
      <c r="Q27">
        <v>200</v>
      </c>
      <c r="R27">
        <v>0</v>
      </c>
      <c r="S27">
        <v>0</v>
      </c>
      <c r="T27">
        <v>350</v>
      </c>
      <c r="U27">
        <v>0</v>
      </c>
      <c r="V27">
        <v>350</v>
      </c>
      <c r="W27" t="s">
        <v>47</v>
      </c>
      <c r="X27" s="6" t="s">
        <v>31</v>
      </c>
    </row>
    <row r="28" spans="1:24" hidden="1" x14ac:dyDescent="0.25">
      <c r="A28" t="s">
        <v>105</v>
      </c>
      <c r="B28" t="s">
        <v>106</v>
      </c>
      <c r="C28" t="s">
        <v>24</v>
      </c>
      <c r="D28">
        <v>70</v>
      </c>
      <c r="E28" t="s">
        <v>107</v>
      </c>
      <c r="F28" t="s">
        <v>35</v>
      </c>
      <c r="G28" t="s">
        <v>26</v>
      </c>
      <c r="H28" t="str">
        <f>INDEX(Table1[Diagnosis],MATCH(I28,'codeand diagnosis'!$A$2:$A$11,0))</f>
        <v>Dental examination with radiology</v>
      </c>
      <c r="I28" t="s">
        <v>37</v>
      </c>
      <c r="J28" t="str">
        <f>INDEX(Table1[ICD-10 Code],MATCH(Table2[[#This Row],[Treatment]],Table1[Treatment Type],0))</f>
        <v>Z01.2</v>
      </c>
      <c r="K28" t="s">
        <v>28</v>
      </c>
      <c r="L28" t="s">
        <v>38</v>
      </c>
      <c r="M28" t="s">
        <v>29</v>
      </c>
      <c r="N28">
        <f>Table2[[#This Row],[Total Paid]]+Table2[[#This Row],[Due]]</f>
        <v>350</v>
      </c>
      <c r="O28">
        <v>0</v>
      </c>
      <c r="P28">
        <v>150</v>
      </c>
      <c r="Q28">
        <v>200</v>
      </c>
      <c r="R28">
        <v>0</v>
      </c>
      <c r="S28">
        <v>0</v>
      </c>
      <c r="T28">
        <v>350</v>
      </c>
      <c r="U28">
        <v>0</v>
      </c>
      <c r="V28">
        <v>350</v>
      </c>
      <c r="W28" t="s">
        <v>42</v>
      </c>
      <c r="X28" s="6" t="s">
        <v>31</v>
      </c>
    </row>
    <row r="29" spans="1:24" hidden="1" x14ac:dyDescent="0.25">
      <c r="A29" t="s">
        <v>108</v>
      </c>
      <c r="B29" t="s">
        <v>109</v>
      </c>
      <c r="C29" t="s">
        <v>34</v>
      </c>
      <c r="D29">
        <v>47</v>
      </c>
      <c r="E29" t="s">
        <v>110</v>
      </c>
      <c r="F29" t="s">
        <v>88</v>
      </c>
      <c r="G29" t="s">
        <v>26</v>
      </c>
      <c r="H29" t="str">
        <f>INDEX(Table1[Diagnosis],MATCH(I29,'codeand diagnosis'!$A$2:$A$11,0))</f>
        <v>Pulpitis</v>
      </c>
      <c r="I29" t="s">
        <v>111</v>
      </c>
      <c r="J29" t="str">
        <f>INDEX(Table1[ICD-10 Code],MATCH(Table2[[#This Row],[Treatment]],Table1[Treatment Type],0))</f>
        <v>K04.0</v>
      </c>
      <c r="K29" t="s">
        <v>28</v>
      </c>
      <c r="L29" t="s">
        <v>28</v>
      </c>
      <c r="M29" t="s">
        <v>29</v>
      </c>
      <c r="N29">
        <f>Table2[[#This Row],[Total Paid]]+Table2[[#This Row],[Due]]</f>
        <v>3658</v>
      </c>
      <c r="O29">
        <v>3658</v>
      </c>
      <c r="P29">
        <v>0</v>
      </c>
      <c r="Q29">
        <v>0</v>
      </c>
      <c r="R29">
        <v>0</v>
      </c>
      <c r="S29">
        <v>0</v>
      </c>
      <c r="T29">
        <v>3658</v>
      </c>
      <c r="U29">
        <v>0</v>
      </c>
      <c r="V29">
        <v>3658</v>
      </c>
      <c r="W29" t="s">
        <v>42</v>
      </c>
      <c r="X29" s="6" t="s">
        <v>31</v>
      </c>
    </row>
    <row r="30" spans="1:24" hidden="1" x14ac:dyDescent="0.25">
      <c r="A30" t="s">
        <v>112</v>
      </c>
      <c r="B30" t="s">
        <v>113</v>
      </c>
      <c r="C30" t="s">
        <v>24</v>
      </c>
      <c r="D30">
        <v>35</v>
      </c>
      <c r="E30" t="s">
        <v>110</v>
      </c>
      <c r="F30" t="s">
        <v>60</v>
      </c>
      <c r="G30" t="s">
        <v>36</v>
      </c>
      <c r="H30" t="str">
        <f>INDEX(Table1[Diagnosis],MATCH(I30,'codeand diagnosis'!$A$2:$A$11,0))</f>
        <v>Loss of teeth</v>
      </c>
      <c r="I30" t="s">
        <v>68</v>
      </c>
      <c r="J30" t="str">
        <f>INDEX(Table1[ICD-10 Code],MATCH(Table2[[#This Row],[Treatment]],Table1[Treatment Type],0))</f>
        <v>K08.1</v>
      </c>
      <c r="K30" t="s">
        <v>28</v>
      </c>
      <c r="L30" t="s">
        <v>38</v>
      </c>
      <c r="M30" t="s">
        <v>29</v>
      </c>
      <c r="N30">
        <f>Table2[[#This Row],[Total Paid]]+Table2[[#This Row],[Due]]</f>
        <v>505</v>
      </c>
      <c r="O30">
        <v>505</v>
      </c>
      <c r="P30">
        <v>0</v>
      </c>
      <c r="Q30">
        <v>0</v>
      </c>
      <c r="R30">
        <v>0</v>
      </c>
      <c r="S30">
        <v>0</v>
      </c>
      <c r="T30">
        <v>505</v>
      </c>
      <c r="U30">
        <v>0</v>
      </c>
      <c r="V30">
        <v>505</v>
      </c>
      <c r="W30" t="s">
        <v>30</v>
      </c>
      <c r="X30" s="6" t="s">
        <v>31</v>
      </c>
    </row>
    <row r="31" spans="1:24" hidden="1" x14ac:dyDescent="0.25">
      <c r="A31" t="s">
        <v>114</v>
      </c>
      <c r="B31" t="s">
        <v>115</v>
      </c>
      <c r="C31" t="s">
        <v>24</v>
      </c>
      <c r="D31">
        <v>49</v>
      </c>
      <c r="E31" t="s">
        <v>116</v>
      </c>
      <c r="F31" t="s">
        <v>50</v>
      </c>
      <c r="G31" t="s">
        <v>36</v>
      </c>
      <c r="H31" t="str">
        <f>INDEX(Table1[Diagnosis],MATCH(I31,'codeand diagnosis'!$A$2:$A$11,0))</f>
        <v>Dental caries</v>
      </c>
      <c r="I31" t="s">
        <v>41</v>
      </c>
      <c r="J31" t="str">
        <f>INDEX(Table1[ICD-10 Code],MATCH(Table2[[#This Row],[Treatment]],Table1[Treatment Type],0))</f>
        <v>K02.9</v>
      </c>
      <c r="K31" t="s">
        <v>28</v>
      </c>
      <c r="L31" t="s">
        <v>38</v>
      </c>
      <c r="M31" t="s">
        <v>29</v>
      </c>
      <c r="N31">
        <f>Table2[[#This Row],[Total Paid]]+Table2[[#This Row],[Due]]</f>
        <v>621</v>
      </c>
      <c r="O31">
        <v>1035</v>
      </c>
      <c r="P31">
        <v>0</v>
      </c>
      <c r="Q31">
        <v>0</v>
      </c>
      <c r="R31">
        <v>0</v>
      </c>
      <c r="S31">
        <v>414</v>
      </c>
      <c r="T31">
        <v>621</v>
      </c>
      <c r="U31">
        <v>0</v>
      </c>
      <c r="V31">
        <v>621</v>
      </c>
      <c r="W31" t="s">
        <v>51</v>
      </c>
      <c r="X31" s="6" t="s">
        <v>31</v>
      </c>
    </row>
    <row r="32" spans="1:24" hidden="1" x14ac:dyDescent="0.25">
      <c r="A32" t="s">
        <v>117</v>
      </c>
      <c r="B32" t="s">
        <v>118</v>
      </c>
      <c r="C32" t="s">
        <v>24</v>
      </c>
      <c r="D32">
        <v>55</v>
      </c>
      <c r="E32" t="s">
        <v>119</v>
      </c>
      <c r="F32" t="s">
        <v>25</v>
      </c>
      <c r="G32" t="s">
        <v>36</v>
      </c>
      <c r="H32" t="str">
        <f>INDEX(Table1[Diagnosis],MATCH(I32,'codeand diagnosis'!$A$2:$A$11,0))</f>
        <v>Dental caries</v>
      </c>
      <c r="I32" t="s">
        <v>41</v>
      </c>
      <c r="J32" t="str">
        <f>INDEX(Table1[ICD-10 Code],MATCH(Table2[[#This Row],[Treatment]],Table1[Treatment Type],0))</f>
        <v>K02.9</v>
      </c>
      <c r="K32" t="s">
        <v>28</v>
      </c>
      <c r="L32" t="s">
        <v>28</v>
      </c>
      <c r="M32" t="s">
        <v>29</v>
      </c>
      <c r="N32">
        <f>Table2[[#This Row],[Total Paid]]+Table2[[#This Row],[Due]]</f>
        <v>1048</v>
      </c>
      <c r="O32">
        <v>1048</v>
      </c>
      <c r="P32">
        <v>0</v>
      </c>
      <c r="Q32">
        <v>0</v>
      </c>
      <c r="R32">
        <v>0</v>
      </c>
      <c r="S32">
        <v>0</v>
      </c>
      <c r="T32">
        <v>1048</v>
      </c>
      <c r="U32">
        <v>0</v>
      </c>
      <c r="V32">
        <v>1048</v>
      </c>
      <c r="W32" t="s">
        <v>51</v>
      </c>
      <c r="X32" s="6" t="s">
        <v>31</v>
      </c>
    </row>
    <row r="33" spans="1:24" hidden="1" x14ac:dyDescent="0.25">
      <c r="A33" t="s">
        <v>120</v>
      </c>
      <c r="B33" t="s">
        <v>121</v>
      </c>
      <c r="C33" t="s">
        <v>34</v>
      </c>
      <c r="D33">
        <v>79</v>
      </c>
      <c r="E33" t="s">
        <v>119</v>
      </c>
      <c r="F33" t="s">
        <v>54</v>
      </c>
      <c r="G33" t="s">
        <v>36</v>
      </c>
      <c r="H33" t="str">
        <f>INDEX(Table1[Diagnosis],MATCH(I33,'codeand diagnosis'!$A$2:$A$11,0))</f>
        <v>Loss of teeth</v>
      </c>
      <c r="I33" t="s">
        <v>68</v>
      </c>
      <c r="J33" t="str">
        <f>INDEX(Table1[ICD-10 Code],MATCH(Table2[[#This Row],[Treatment]],Table1[Treatment Type],0))</f>
        <v>K08.1</v>
      </c>
      <c r="K33" t="s">
        <v>28</v>
      </c>
      <c r="L33" t="s">
        <v>28</v>
      </c>
      <c r="M33" t="s">
        <v>61</v>
      </c>
      <c r="N33">
        <f>Table2[[#This Row],[Total Paid]]+Table2[[#This Row],[Due]]</f>
        <v>949</v>
      </c>
      <c r="O33">
        <v>949</v>
      </c>
      <c r="P33">
        <v>0</v>
      </c>
      <c r="Q33">
        <v>0</v>
      </c>
      <c r="R33">
        <v>0</v>
      </c>
      <c r="S33">
        <v>0</v>
      </c>
      <c r="T33">
        <v>949</v>
      </c>
      <c r="U33">
        <v>0</v>
      </c>
      <c r="V33">
        <v>949</v>
      </c>
      <c r="W33" t="s">
        <v>47</v>
      </c>
      <c r="X33" s="6" t="s">
        <v>31</v>
      </c>
    </row>
    <row r="34" spans="1:24" hidden="1" x14ac:dyDescent="0.25">
      <c r="A34" t="s">
        <v>122</v>
      </c>
      <c r="B34" t="s">
        <v>106</v>
      </c>
      <c r="C34" t="s">
        <v>24</v>
      </c>
      <c r="D34">
        <v>45</v>
      </c>
      <c r="E34" t="s">
        <v>123</v>
      </c>
      <c r="F34" t="s">
        <v>50</v>
      </c>
      <c r="G34" t="s">
        <v>36</v>
      </c>
      <c r="H34" t="str">
        <f>INDEX(Table1[Diagnosis],MATCH(I34,'codeand diagnosis'!$A$2:$A$11,0))</f>
        <v>Dental examination with radiology</v>
      </c>
      <c r="I34" t="s">
        <v>37</v>
      </c>
      <c r="J34" t="str">
        <f>INDEX(Table1[ICD-10 Code],MATCH(Table2[[#This Row],[Treatment]],Table1[Treatment Type],0))</f>
        <v>Z01.2</v>
      </c>
      <c r="K34" t="s">
        <v>28</v>
      </c>
      <c r="L34" t="s">
        <v>38</v>
      </c>
      <c r="M34" t="s">
        <v>46</v>
      </c>
      <c r="N34">
        <f>Table2[[#This Row],[Total Paid]]+Table2[[#This Row],[Due]]</f>
        <v>350</v>
      </c>
      <c r="O34">
        <v>0</v>
      </c>
      <c r="P34">
        <v>150</v>
      </c>
      <c r="Q34">
        <v>200</v>
      </c>
      <c r="R34">
        <v>0</v>
      </c>
      <c r="S34">
        <v>0</v>
      </c>
      <c r="T34">
        <v>350</v>
      </c>
      <c r="U34">
        <v>0</v>
      </c>
      <c r="V34">
        <v>350</v>
      </c>
      <c r="W34" t="s">
        <v>47</v>
      </c>
      <c r="X34" s="6" t="s">
        <v>31</v>
      </c>
    </row>
    <row r="35" spans="1:24" hidden="1" x14ac:dyDescent="0.25">
      <c r="A35" t="s">
        <v>124</v>
      </c>
      <c r="B35" t="s">
        <v>125</v>
      </c>
      <c r="C35" t="s">
        <v>34</v>
      </c>
      <c r="D35">
        <v>67</v>
      </c>
      <c r="E35" t="s">
        <v>126</v>
      </c>
      <c r="F35" t="s">
        <v>104</v>
      </c>
      <c r="G35" t="s">
        <v>26</v>
      </c>
      <c r="H35" t="str">
        <f>INDEX(Table1[Diagnosis],MATCH(I35,'codeand diagnosis'!$A$2:$A$11,0))</f>
        <v>Dental examination</v>
      </c>
      <c r="I35" t="s">
        <v>45</v>
      </c>
      <c r="J35" t="str">
        <f>INDEX(Table1[ICD-10 Code],MATCH(Table2[[#This Row],[Treatment]],Table1[Treatment Type],0))</f>
        <v>Z01.2</v>
      </c>
      <c r="K35" t="s">
        <v>28</v>
      </c>
      <c r="L35" t="s">
        <v>28</v>
      </c>
      <c r="M35" t="s">
        <v>29</v>
      </c>
      <c r="N35">
        <f>Table2[[#This Row],[Total Paid]]+Table2[[#This Row],[Due]]</f>
        <v>200</v>
      </c>
      <c r="O35">
        <v>0</v>
      </c>
      <c r="P35">
        <v>0</v>
      </c>
      <c r="Q35">
        <v>200</v>
      </c>
      <c r="R35">
        <v>0</v>
      </c>
      <c r="S35">
        <v>0</v>
      </c>
      <c r="T35">
        <v>200</v>
      </c>
      <c r="U35">
        <v>0</v>
      </c>
      <c r="V35">
        <v>200</v>
      </c>
      <c r="W35" t="s">
        <v>51</v>
      </c>
      <c r="X35" s="6" t="s">
        <v>31</v>
      </c>
    </row>
    <row r="36" spans="1:24" hidden="1" x14ac:dyDescent="0.25">
      <c r="A36" t="s">
        <v>127</v>
      </c>
      <c r="B36" t="s">
        <v>128</v>
      </c>
      <c r="C36" t="s">
        <v>24</v>
      </c>
      <c r="D36">
        <v>72</v>
      </c>
      <c r="E36" t="s">
        <v>129</v>
      </c>
      <c r="F36" t="s">
        <v>88</v>
      </c>
      <c r="G36" t="s">
        <v>26</v>
      </c>
      <c r="H36" t="str">
        <f>INDEX(Table1[Diagnosis],MATCH(I36,'codeand diagnosis'!$A$2:$A$11,0))</f>
        <v>Malocclusion</v>
      </c>
      <c r="I36" t="s">
        <v>89</v>
      </c>
      <c r="J36" t="str">
        <f>INDEX(Table1[ICD-10 Code],MATCH(Table2[[#This Row],[Treatment]],Table1[Treatment Type],0))</f>
        <v>K07.4</v>
      </c>
      <c r="K36" t="s">
        <v>28</v>
      </c>
      <c r="L36" t="s">
        <v>38</v>
      </c>
      <c r="M36" t="s">
        <v>29</v>
      </c>
      <c r="N36">
        <f>Table2[[#This Row],[Total Paid]]+Table2[[#This Row],[Due]]</f>
        <v>14477</v>
      </c>
      <c r="O36">
        <v>14477</v>
      </c>
      <c r="P36">
        <v>0</v>
      </c>
      <c r="Q36">
        <v>0</v>
      </c>
      <c r="R36">
        <v>4260</v>
      </c>
      <c r="S36">
        <v>0</v>
      </c>
      <c r="T36">
        <v>14477</v>
      </c>
      <c r="U36">
        <v>0</v>
      </c>
      <c r="V36">
        <v>10217</v>
      </c>
      <c r="W36" t="s">
        <v>51</v>
      </c>
      <c r="X36" s="6" t="s">
        <v>31</v>
      </c>
    </row>
    <row r="37" spans="1:24" hidden="1" x14ac:dyDescent="0.25">
      <c r="A37" t="s">
        <v>130</v>
      </c>
      <c r="B37" t="s">
        <v>131</v>
      </c>
      <c r="C37" t="s">
        <v>34</v>
      </c>
      <c r="D37">
        <v>60</v>
      </c>
      <c r="E37" t="s">
        <v>129</v>
      </c>
      <c r="F37" t="s">
        <v>132</v>
      </c>
      <c r="G37" t="s">
        <v>36</v>
      </c>
      <c r="H37" t="str">
        <f>INDEX(Table1[Diagnosis],MATCH(I37,'codeand diagnosis'!$A$2:$A$11,0))</f>
        <v>Dental examination</v>
      </c>
      <c r="I37" t="s">
        <v>45</v>
      </c>
      <c r="J37" t="str">
        <f>INDEX(Table1[ICD-10 Code],MATCH(Table2[[#This Row],[Treatment]],Table1[Treatment Type],0))</f>
        <v>Z01.2</v>
      </c>
      <c r="K37" t="s">
        <v>28</v>
      </c>
      <c r="L37" t="s">
        <v>28</v>
      </c>
      <c r="M37" t="s">
        <v>29</v>
      </c>
      <c r="N37">
        <f>Table2[[#This Row],[Total Paid]]+Table2[[#This Row],[Due]]</f>
        <v>200</v>
      </c>
      <c r="O37">
        <v>0</v>
      </c>
      <c r="P37">
        <v>0</v>
      </c>
      <c r="Q37">
        <v>200</v>
      </c>
      <c r="R37">
        <v>0</v>
      </c>
      <c r="S37">
        <v>0</v>
      </c>
      <c r="T37">
        <v>200</v>
      </c>
      <c r="U37">
        <v>0</v>
      </c>
      <c r="V37">
        <v>200</v>
      </c>
      <c r="W37" t="s">
        <v>47</v>
      </c>
      <c r="X37" s="6" t="s">
        <v>31</v>
      </c>
    </row>
    <row r="38" spans="1:24" hidden="1" x14ac:dyDescent="0.25">
      <c r="A38" t="s">
        <v>133</v>
      </c>
      <c r="B38" t="s">
        <v>82</v>
      </c>
      <c r="C38" t="s">
        <v>24</v>
      </c>
      <c r="D38">
        <v>22</v>
      </c>
      <c r="E38" t="s">
        <v>134</v>
      </c>
      <c r="F38" t="s">
        <v>88</v>
      </c>
      <c r="G38" t="s">
        <v>26</v>
      </c>
      <c r="H38" t="str">
        <f>INDEX(Table1[Diagnosis],MATCH(I38,'codeand diagnosis'!$A$2:$A$11,0))</f>
        <v>Dental examination with radiology</v>
      </c>
      <c r="I38" t="s">
        <v>37</v>
      </c>
      <c r="J38" t="str">
        <f>INDEX(Table1[ICD-10 Code],MATCH(Table2[[#This Row],[Treatment]],Table1[Treatment Type],0))</f>
        <v>Z01.2</v>
      </c>
      <c r="K38" t="s">
        <v>28</v>
      </c>
      <c r="L38" t="s">
        <v>38</v>
      </c>
      <c r="M38" t="s">
        <v>29</v>
      </c>
      <c r="N38">
        <f>Table2[[#This Row],[Total Paid]]+Table2[[#This Row],[Due]]</f>
        <v>350</v>
      </c>
      <c r="O38">
        <v>0</v>
      </c>
      <c r="P38">
        <v>150</v>
      </c>
      <c r="Q38">
        <v>200</v>
      </c>
      <c r="R38">
        <v>0</v>
      </c>
      <c r="S38">
        <v>0</v>
      </c>
      <c r="T38">
        <v>350</v>
      </c>
      <c r="U38">
        <v>0</v>
      </c>
      <c r="V38">
        <v>350</v>
      </c>
      <c r="W38" t="s">
        <v>51</v>
      </c>
      <c r="X38" s="6" t="s">
        <v>31</v>
      </c>
    </row>
    <row r="39" spans="1:24" hidden="1" x14ac:dyDescent="0.25">
      <c r="A39" t="s">
        <v>135</v>
      </c>
      <c r="B39" t="s">
        <v>70</v>
      </c>
      <c r="C39" t="s">
        <v>24</v>
      </c>
      <c r="D39">
        <v>66</v>
      </c>
      <c r="E39" t="s">
        <v>134</v>
      </c>
      <c r="F39" t="s">
        <v>88</v>
      </c>
      <c r="G39" t="s">
        <v>26</v>
      </c>
      <c r="H39" t="str">
        <f>INDEX(Table1[Diagnosis],MATCH(I39,'codeand diagnosis'!$A$2:$A$11,0))</f>
        <v>Dental examination</v>
      </c>
      <c r="I39" t="s">
        <v>45</v>
      </c>
      <c r="J39" t="str">
        <f>INDEX(Table1[ICD-10 Code],MATCH(Table2[[#This Row],[Treatment]],Table1[Treatment Type],0))</f>
        <v>Z01.2</v>
      </c>
      <c r="K39" t="s">
        <v>28</v>
      </c>
      <c r="L39" t="s">
        <v>28</v>
      </c>
      <c r="M39" t="s">
        <v>29</v>
      </c>
      <c r="N39">
        <f>Table2[[#This Row],[Total Paid]]+Table2[[#This Row],[Due]]</f>
        <v>200</v>
      </c>
      <c r="O39">
        <v>0</v>
      </c>
      <c r="P39">
        <v>0</v>
      </c>
      <c r="Q39">
        <v>200</v>
      </c>
      <c r="R39">
        <v>0</v>
      </c>
      <c r="S39">
        <v>0</v>
      </c>
      <c r="T39">
        <v>200</v>
      </c>
      <c r="U39">
        <v>0</v>
      </c>
      <c r="V39">
        <v>200</v>
      </c>
      <c r="W39" t="s">
        <v>42</v>
      </c>
      <c r="X39" s="6" t="s">
        <v>31</v>
      </c>
    </row>
    <row r="40" spans="1:24" hidden="1" x14ac:dyDescent="0.25">
      <c r="A40" t="s">
        <v>136</v>
      </c>
      <c r="B40" t="s">
        <v>137</v>
      </c>
      <c r="C40" t="s">
        <v>24</v>
      </c>
      <c r="D40">
        <v>13</v>
      </c>
      <c r="E40" t="s">
        <v>138</v>
      </c>
      <c r="F40" t="s">
        <v>35</v>
      </c>
      <c r="G40" t="s">
        <v>26</v>
      </c>
      <c r="H40" t="str">
        <f>INDEX(Table1[Diagnosis],MATCH(I40,'codeand diagnosis'!$A$2:$A$11,0))</f>
        <v>Dental examination</v>
      </c>
      <c r="I40" t="s">
        <v>45</v>
      </c>
      <c r="J40" t="str">
        <f>INDEX(Table1[ICD-10 Code],MATCH(Table2[[#This Row],[Treatment]],Table1[Treatment Type],0))</f>
        <v>Z01.2</v>
      </c>
      <c r="K40" t="s">
        <v>28</v>
      </c>
      <c r="L40" t="s">
        <v>28</v>
      </c>
      <c r="M40" t="s">
        <v>29</v>
      </c>
      <c r="N40">
        <f>Table2[[#This Row],[Total Paid]]+Table2[[#This Row],[Due]]</f>
        <v>200</v>
      </c>
      <c r="O40">
        <v>0</v>
      </c>
      <c r="P40">
        <v>0</v>
      </c>
      <c r="Q40">
        <v>200</v>
      </c>
      <c r="R40">
        <v>0</v>
      </c>
      <c r="S40">
        <v>0</v>
      </c>
      <c r="T40">
        <v>200</v>
      </c>
      <c r="U40">
        <v>0</v>
      </c>
      <c r="V40">
        <v>200</v>
      </c>
      <c r="W40" t="s">
        <v>51</v>
      </c>
      <c r="X40" s="6" t="s">
        <v>31</v>
      </c>
    </row>
    <row r="41" spans="1:24" hidden="1" x14ac:dyDescent="0.25">
      <c r="A41" t="s">
        <v>139</v>
      </c>
      <c r="B41" t="s">
        <v>103</v>
      </c>
      <c r="C41" t="s">
        <v>34</v>
      </c>
      <c r="D41">
        <v>54</v>
      </c>
      <c r="E41" t="s">
        <v>138</v>
      </c>
      <c r="F41" t="s">
        <v>50</v>
      </c>
      <c r="G41" t="s">
        <v>26</v>
      </c>
      <c r="H41" t="str">
        <f>INDEX(Table1[Diagnosis],MATCH(I41,'codeand diagnosis'!$A$2:$A$11,0))</f>
        <v>Dental examination with radiology</v>
      </c>
      <c r="I41" t="s">
        <v>37</v>
      </c>
      <c r="J41" t="str">
        <f>INDEX(Table1[ICD-10 Code],MATCH(Table2[[#This Row],[Treatment]],Table1[Treatment Type],0))</f>
        <v>Z01.2</v>
      </c>
      <c r="K41" t="s">
        <v>28</v>
      </c>
      <c r="L41" t="s">
        <v>38</v>
      </c>
      <c r="M41" t="s">
        <v>29</v>
      </c>
      <c r="N41">
        <f>Table2[[#This Row],[Total Paid]]+Table2[[#This Row],[Due]]</f>
        <v>350</v>
      </c>
      <c r="O41">
        <v>0</v>
      </c>
      <c r="P41">
        <v>150</v>
      </c>
      <c r="Q41">
        <v>200</v>
      </c>
      <c r="R41">
        <v>0</v>
      </c>
      <c r="S41">
        <v>0</v>
      </c>
      <c r="T41">
        <v>350</v>
      </c>
      <c r="U41">
        <v>0</v>
      </c>
      <c r="V41">
        <v>350</v>
      </c>
      <c r="W41" t="s">
        <v>51</v>
      </c>
      <c r="X41" s="6" t="s">
        <v>31</v>
      </c>
    </row>
    <row r="42" spans="1:24" x14ac:dyDescent="0.25">
      <c r="A42" t="s">
        <v>140</v>
      </c>
      <c r="B42" t="s">
        <v>141</v>
      </c>
      <c r="C42" t="s">
        <v>34</v>
      </c>
      <c r="D42">
        <v>54</v>
      </c>
      <c r="E42" t="s">
        <v>142</v>
      </c>
      <c r="F42" t="s">
        <v>35</v>
      </c>
      <c r="G42" t="s">
        <v>26</v>
      </c>
      <c r="H42" t="str">
        <f>INDEX(Table1[Diagnosis],MATCH(I42,'codeand diagnosis'!$A$2:$A$11,0))</f>
        <v>Missing teeth</v>
      </c>
      <c r="I42" t="s">
        <v>78</v>
      </c>
      <c r="J42" t="str">
        <f>INDEX(Table1[ICD-10 Code],MATCH(Table2[[#This Row],[Treatment]],Table1[Treatment Type],0))</f>
        <v>K08.1</v>
      </c>
      <c r="K42" t="s">
        <v>28</v>
      </c>
      <c r="L42" t="s">
        <v>38</v>
      </c>
      <c r="M42" t="s">
        <v>61</v>
      </c>
      <c r="N42">
        <f>Table2[[#This Row],[Total Paid]]+Table2[[#This Row],[Due]]</f>
        <v>26257</v>
      </c>
      <c r="O42">
        <v>27757</v>
      </c>
      <c r="P42">
        <v>0</v>
      </c>
      <c r="Q42">
        <v>0</v>
      </c>
      <c r="R42">
        <v>7170</v>
      </c>
      <c r="S42">
        <v>1500</v>
      </c>
      <c r="T42">
        <v>26257</v>
      </c>
      <c r="U42">
        <v>0</v>
      </c>
      <c r="V42">
        <v>19087</v>
      </c>
      <c r="W42" t="s">
        <v>51</v>
      </c>
      <c r="X42" s="6" t="s">
        <v>31</v>
      </c>
    </row>
    <row r="43" spans="1:24" x14ac:dyDescent="0.25">
      <c r="A43" t="s">
        <v>143</v>
      </c>
      <c r="B43" t="s">
        <v>144</v>
      </c>
      <c r="C43" t="s">
        <v>24</v>
      </c>
      <c r="D43">
        <v>46</v>
      </c>
      <c r="E43" t="s">
        <v>142</v>
      </c>
      <c r="F43" t="s">
        <v>50</v>
      </c>
      <c r="G43" t="s">
        <v>36</v>
      </c>
      <c r="H43" t="str">
        <f>INDEX(Table1[Diagnosis],MATCH(I43,'codeand diagnosis'!$A$2:$A$11,0))</f>
        <v>Retained dental root</v>
      </c>
      <c r="I43" t="s">
        <v>145</v>
      </c>
      <c r="J43" t="str">
        <f>INDEX(Table1[ICD-10 Code],MATCH(Table2[[#This Row],[Treatment]],Table1[Treatment Type],0))</f>
        <v>K08.3</v>
      </c>
      <c r="K43" t="s">
        <v>28</v>
      </c>
      <c r="L43" t="s">
        <v>38</v>
      </c>
      <c r="M43" t="s">
        <v>61</v>
      </c>
      <c r="N43">
        <f>Table2[[#This Row],[Total Paid]]+Table2[[#This Row],[Due]]</f>
        <v>2455</v>
      </c>
      <c r="O43">
        <v>2455</v>
      </c>
      <c r="P43">
        <v>0</v>
      </c>
      <c r="Q43">
        <v>0</v>
      </c>
      <c r="R43">
        <v>860</v>
      </c>
      <c r="S43">
        <v>0</v>
      </c>
      <c r="T43">
        <v>2455</v>
      </c>
      <c r="U43">
        <v>0</v>
      </c>
      <c r="V43">
        <v>1595</v>
      </c>
      <c r="W43" t="s">
        <v>42</v>
      </c>
      <c r="X43" s="6" t="s">
        <v>31</v>
      </c>
    </row>
    <row r="44" spans="1:24" x14ac:dyDescent="0.25">
      <c r="A44" t="s">
        <v>146</v>
      </c>
      <c r="B44" t="s">
        <v>113</v>
      </c>
      <c r="C44" t="s">
        <v>24</v>
      </c>
      <c r="D44">
        <v>6</v>
      </c>
      <c r="E44" t="s">
        <v>142</v>
      </c>
      <c r="F44" t="s">
        <v>50</v>
      </c>
      <c r="G44" t="s">
        <v>26</v>
      </c>
      <c r="H44" t="str">
        <f>INDEX(Table1[Diagnosis],MATCH(I44,'codeand diagnosis'!$A$2:$A$11,0))</f>
        <v>Dental examination with radiology</v>
      </c>
      <c r="I44" t="s">
        <v>37</v>
      </c>
      <c r="J44" t="str">
        <f>INDEX(Table1[ICD-10 Code],MATCH(Table2[[#This Row],[Treatment]],Table1[Treatment Type],0))</f>
        <v>Z01.2</v>
      </c>
      <c r="K44" t="s">
        <v>28</v>
      </c>
      <c r="L44" t="s">
        <v>38</v>
      </c>
      <c r="M44" t="s">
        <v>46</v>
      </c>
      <c r="N44">
        <f>Table2[[#This Row],[Total Paid]]+Table2[[#This Row],[Due]]</f>
        <v>210</v>
      </c>
      <c r="O44">
        <v>0</v>
      </c>
      <c r="P44">
        <v>150</v>
      </c>
      <c r="Q44">
        <v>200</v>
      </c>
      <c r="R44">
        <v>0</v>
      </c>
      <c r="S44">
        <v>140</v>
      </c>
      <c r="T44">
        <v>210</v>
      </c>
      <c r="U44">
        <v>0</v>
      </c>
      <c r="V44">
        <v>210</v>
      </c>
      <c r="W44" t="s">
        <v>42</v>
      </c>
      <c r="X44" s="6" t="s">
        <v>31</v>
      </c>
    </row>
    <row r="45" spans="1:24" x14ac:dyDescent="0.25">
      <c r="A45" t="s">
        <v>147</v>
      </c>
      <c r="B45" t="s">
        <v>148</v>
      </c>
      <c r="C45" t="s">
        <v>24</v>
      </c>
      <c r="D45">
        <v>24</v>
      </c>
      <c r="E45" t="s">
        <v>149</v>
      </c>
      <c r="F45" t="s">
        <v>35</v>
      </c>
      <c r="G45" t="s">
        <v>26</v>
      </c>
      <c r="H45" t="str">
        <f>INDEX(Table1[Diagnosis],MATCH(I45,'codeand diagnosis'!$A$2:$A$11,0))</f>
        <v>Malocclusion</v>
      </c>
      <c r="I45" t="s">
        <v>89</v>
      </c>
      <c r="J45" t="str">
        <f>INDEX(Table1[ICD-10 Code],MATCH(Table2[[#This Row],[Treatment]],Table1[Treatment Type],0))</f>
        <v>K07.4</v>
      </c>
      <c r="K45" t="s">
        <v>28</v>
      </c>
      <c r="L45" t="s">
        <v>38</v>
      </c>
      <c r="M45" t="s">
        <v>29</v>
      </c>
      <c r="N45">
        <f>Table2[[#This Row],[Total Paid]]+Table2[[#This Row],[Due]]</f>
        <v>19143</v>
      </c>
      <c r="O45">
        <v>19443</v>
      </c>
      <c r="P45">
        <v>0</v>
      </c>
      <c r="Q45">
        <v>0</v>
      </c>
      <c r="R45">
        <v>5170</v>
      </c>
      <c r="S45">
        <v>300</v>
      </c>
      <c r="T45">
        <v>19143</v>
      </c>
      <c r="U45">
        <v>0</v>
      </c>
      <c r="V45">
        <v>13973</v>
      </c>
      <c r="W45" t="s">
        <v>51</v>
      </c>
      <c r="X45" s="6" t="s">
        <v>31</v>
      </c>
    </row>
    <row r="46" spans="1:24" x14ac:dyDescent="0.25">
      <c r="A46" t="s">
        <v>150</v>
      </c>
      <c r="B46" t="s">
        <v>151</v>
      </c>
      <c r="C46" t="s">
        <v>24</v>
      </c>
      <c r="D46">
        <v>72</v>
      </c>
      <c r="E46" t="s">
        <v>149</v>
      </c>
      <c r="F46" t="s">
        <v>88</v>
      </c>
      <c r="G46" t="s">
        <v>36</v>
      </c>
      <c r="H46" t="str">
        <f>INDEX(Table1[Diagnosis],MATCH(I46,'codeand diagnosis'!$A$2:$A$11,0))</f>
        <v>Dental examination</v>
      </c>
      <c r="I46" t="s">
        <v>45</v>
      </c>
      <c r="J46" t="str">
        <f>INDEX(Table1[ICD-10 Code],MATCH(Table2[[#This Row],[Treatment]],Table1[Treatment Type],0))</f>
        <v>Z01.2</v>
      </c>
      <c r="K46" t="s">
        <v>28</v>
      </c>
      <c r="L46" t="s">
        <v>28</v>
      </c>
      <c r="M46" t="s">
        <v>29</v>
      </c>
      <c r="N46">
        <f>Table2[[#This Row],[Total Paid]]+Table2[[#This Row],[Due]]</f>
        <v>200</v>
      </c>
      <c r="O46">
        <v>0</v>
      </c>
      <c r="P46">
        <v>0</v>
      </c>
      <c r="Q46">
        <v>200</v>
      </c>
      <c r="R46">
        <v>0</v>
      </c>
      <c r="S46">
        <v>0</v>
      </c>
      <c r="T46">
        <v>200</v>
      </c>
      <c r="U46">
        <v>0</v>
      </c>
      <c r="V46">
        <v>200</v>
      </c>
      <c r="W46" t="s">
        <v>51</v>
      </c>
      <c r="X46" s="6" t="s">
        <v>31</v>
      </c>
    </row>
    <row r="47" spans="1:24" x14ac:dyDescent="0.25">
      <c r="A47" t="s">
        <v>152</v>
      </c>
      <c r="B47" t="s">
        <v>131</v>
      </c>
      <c r="C47" t="s">
        <v>34</v>
      </c>
      <c r="D47">
        <v>76</v>
      </c>
      <c r="E47" t="s">
        <v>153</v>
      </c>
      <c r="F47" t="s">
        <v>35</v>
      </c>
      <c r="G47" t="s">
        <v>26</v>
      </c>
      <c r="H47" t="str">
        <f>INDEX(Table1[Diagnosis],MATCH(I47,'codeand diagnosis'!$A$2:$A$11,0))</f>
        <v>Malocclusion</v>
      </c>
      <c r="I47" t="s">
        <v>89</v>
      </c>
      <c r="J47" t="str">
        <f>INDEX(Table1[ICD-10 Code],MATCH(Table2[[#This Row],[Treatment]],Table1[Treatment Type],0))</f>
        <v>K07.4</v>
      </c>
      <c r="K47" t="s">
        <v>28</v>
      </c>
      <c r="L47" t="s">
        <v>38</v>
      </c>
      <c r="M47" t="s">
        <v>61</v>
      </c>
      <c r="N47">
        <f>Table2[[#This Row],[Total Paid]]+Table2[[#This Row],[Due]]</f>
        <v>13112</v>
      </c>
      <c r="O47">
        <v>13112</v>
      </c>
      <c r="P47">
        <v>0</v>
      </c>
      <c r="Q47">
        <v>0</v>
      </c>
      <c r="R47">
        <v>2880</v>
      </c>
      <c r="S47">
        <v>0</v>
      </c>
      <c r="T47">
        <v>13112</v>
      </c>
      <c r="U47">
        <v>0</v>
      </c>
      <c r="V47">
        <v>10232</v>
      </c>
      <c r="W47" t="s">
        <v>51</v>
      </c>
      <c r="X47" s="6" t="s">
        <v>31</v>
      </c>
    </row>
    <row r="48" spans="1:24" x14ac:dyDescent="0.25">
      <c r="A48" t="s">
        <v>154</v>
      </c>
      <c r="B48" t="s">
        <v>98</v>
      </c>
      <c r="C48" t="s">
        <v>24</v>
      </c>
      <c r="D48">
        <v>20</v>
      </c>
      <c r="E48" t="s">
        <v>153</v>
      </c>
      <c r="F48" t="s">
        <v>88</v>
      </c>
      <c r="G48" t="s">
        <v>26</v>
      </c>
      <c r="H48" t="str">
        <f>INDEX(Table1[Diagnosis],MATCH(I48,'codeand diagnosis'!$A$2:$A$11,0))</f>
        <v>Dental examination</v>
      </c>
      <c r="I48" t="s">
        <v>45</v>
      </c>
      <c r="J48" t="str">
        <f>INDEX(Table1[ICD-10 Code],MATCH(Table2[[#This Row],[Treatment]],Table1[Treatment Type],0))</f>
        <v>Z01.2</v>
      </c>
      <c r="K48" t="s">
        <v>28</v>
      </c>
      <c r="L48" t="s">
        <v>28</v>
      </c>
      <c r="M48" t="s">
        <v>29</v>
      </c>
      <c r="N48">
        <f>Table2[[#This Row],[Total Paid]]+Table2[[#This Row],[Due]]</f>
        <v>120</v>
      </c>
      <c r="O48">
        <v>0</v>
      </c>
      <c r="P48">
        <v>0</v>
      </c>
      <c r="Q48">
        <v>200</v>
      </c>
      <c r="R48">
        <v>0</v>
      </c>
      <c r="S48">
        <v>80</v>
      </c>
      <c r="T48">
        <v>120</v>
      </c>
      <c r="U48">
        <v>0</v>
      </c>
      <c r="V48">
        <v>120</v>
      </c>
      <c r="W48" t="s">
        <v>42</v>
      </c>
      <c r="X48" s="6" t="s">
        <v>31</v>
      </c>
    </row>
    <row r="49" spans="1:24" x14ac:dyDescent="0.25">
      <c r="A49" t="s">
        <v>155</v>
      </c>
      <c r="B49" t="s">
        <v>156</v>
      </c>
      <c r="C49" t="s">
        <v>24</v>
      </c>
      <c r="D49">
        <v>53</v>
      </c>
      <c r="E49" t="s">
        <v>157</v>
      </c>
      <c r="F49" t="s">
        <v>35</v>
      </c>
      <c r="G49" t="s">
        <v>26</v>
      </c>
      <c r="H49" t="str">
        <f>INDEX(Table1[Diagnosis],MATCH(I49,'codeand diagnosis'!$A$2:$A$11,0))</f>
        <v>Dental examination with radiology</v>
      </c>
      <c r="I49" t="s">
        <v>37</v>
      </c>
      <c r="J49" t="str">
        <f>INDEX(Table1[ICD-10 Code],MATCH(Table2[[#This Row],[Treatment]],Table1[Treatment Type],0))</f>
        <v>Z01.2</v>
      </c>
      <c r="K49" t="s">
        <v>28</v>
      </c>
      <c r="L49" t="s">
        <v>38</v>
      </c>
      <c r="M49" t="s">
        <v>29</v>
      </c>
      <c r="N49">
        <f>Table2[[#This Row],[Total Paid]]+Table2[[#This Row],[Due]]</f>
        <v>350</v>
      </c>
      <c r="O49">
        <v>0</v>
      </c>
      <c r="P49">
        <v>150</v>
      </c>
      <c r="Q49">
        <v>200</v>
      </c>
      <c r="R49">
        <v>0</v>
      </c>
      <c r="S49">
        <v>0</v>
      </c>
      <c r="T49">
        <v>350</v>
      </c>
      <c r="U49">
        <v>0</v>
      </c>
      <c r="V49">
        <v>350</v>
      </c>
      <c r="W49" t="s">
        <v>51</v>
      </c>
      <c r="X49" s="6" t="s">
        <v>31</v>
      </c>
    </row>
    <row r="50" spans="1:24" x14ac:dyDescent="0.25">
      <c r="A50" t="s">
        <v>158</v>
      </c>
      <c r="B50" t="s">
        <v>159</v>
      </c>
      <c r="C50" t="s">
        <v>24</v>
      </c>
      <c r="D50">
        <v>64</v>
      </c>
      <c r="E50" t="s">
        <v>157</v>
      </c>
      <c r="F50" t="s">
        <v>50</v>
      </c>
      <c r="G50" t="s">
        <v>36</v>
      </c>
      <c r="H50" t="str">
        <f>INDEX(Table1[Diagnosis],MATCH(I50,'codeand diagnosis'!$A$2:$A$11,0))</f>
        <v>Dental examination</v>
      </c>
      <c r="I50" t="s">
        <v>45</v>
      </c>
      <c r="J50" t="str">
        <f>INDEX(Table1[ICD-10 Code],MATCH(Table2[[#This Row],[Treatment]],Table1[Treatment Type],0))</f>
        <v>Z01.2</v>
      </c>
      <c r="K50" t="s">
        <v>28</v>
      </c>
      <c r="L50" t="s">
        <v>28</v>
      </c>
      <c r="M50" t="s">
        <v>29</v>
      </c>
      <c r="N50">
        <f>Table2[[#This Row],[Total Paid]]+Table2[[#This Row],[Due]]</f>
        <v>200</v>
      </c>
      <c r="O50">
        <v>0</v>
      </c>
      <c r="P50">
        <v>0</v>
      </c>
      <c r="Q50">
        <v>200</v>
      </c>
      <c r="R50">
        <v>0</v>
      </c>
      <c r="S50">
        <v>0</v>
      </c>
      <c r="T50">
        <v>200</v>
      </c>
      <c r="U50">
        <v>0</v>
      </c>
      <c r="V50">
        <v>200</v>
      </c>
      <c r="W50" t="s">
        <v>51</v>
      </c>
      <c r="X50" s="6" t="s">
        <v>31</v>
      </c>
    </row>
    <row r="51" spans="1:24" x14ac:dyDescent="0.25">
      <c r="A51" t="s">
        <v>160</v>
      </c>
      <c r="B51" t="s">
        <v>161</v>
      </c>
      <c r="C51" t="s">
        <v>24</v>
      </c>
      <c r="D51">
        <v>6</v>
      </c>
      <c r="E51" s="1">
        <v>44928</v>
      </c>
      <c r="F51" t="s">
        <v>50</v>
      </c>
      <c r="G51" t="s">
        <v>26</v>
      </c>
      <c r="H51" t="str">
        <f>INDEX(Table1[Diagnosis],MATCH(I51,'codeand diagnosis'!$A$2:$A$11,0))</f>
        <v>Malocclusion</v>
      </c>
      <c r="I51" t="s">
        <v>89</v>
      </c>
      <c r="J51" t="str">
        <f>INDEX(Table1[ICD-10 Code],MATCH(Table2[[#This Row],[Treatment]],Table1[Treatment Type],0))</f>
        <v>K07.4</v>
      </c>
      <c r="K51" t="s">
        <v>28</v>
      </c>
      <c r="L51" t="s">
        <v>38</v>
      </c>
      <c r="M51" t="s">
        <v>61</v>
      </c>
      <c r="N51">
        <f>Table2[[#This Row],[Total Paid]]+Table2[[#This Row],[Due]]</f>
        <v>12112</v>
      </c>
      <c r="O51">
        <v>12112</v>
      </c>
      <c r="P51">
        <v>0</v>
      </c>
      <c r="Q51">
        <v>0</v>
      </c>
      <c r="R51">
        <v>3320</v>
      </c>
      <c r="S51">
        <v>0</v>
      </c>
      <c r="T51">
        <v>12112</v>
      </c>
      <c r="U51">
        <v>0</v>
      </c>
      <c r="V51">
        <v>8792</v>
      </c>
      <c r="W51" t="s">
        <v>51</v>
      </c>
      <c r="X51" s="6" t="s">
        <v>162</v>
      </c>
    </row>
    <row r="52" spans="1:24" x14ac:dyDescent="0.25">
      <c r="A52" t="s">
        <v>163</v>
      </c>
      <c r="B52" t="s">
        <v>125</v>
      </c>
      <c r="C52" t="s">
        <v>34</v>
      </c>
      <c r="D52">
        <v>45</v>
      </c>
      <c r="E52" s="1">
        <v>44959</v>
      </c>
      <c r="F52" t="s">
        <v>50</v>
      </c>
      <c r="G52" t="s">
        <v>26</v>
      </c>
      <c r="H52" t="str">
        <f>INDEX(Table1[Diagnosis],MATCH(I52,'codeand diagnosis'!$A$2:$A$11,0))</f>
        <v>Missing teeth</v>
      </c>
      <c r="I52" t="s">
        <v>78</v>
      </c>
      <c r="J52" t="str">
        <f>INDEX(Table1[ICD-10 Code],MATCH(Table2[[#This Row],[Treatment]],Table1[Treatment Type],0))</f>
        <v>K08.1</v>
      </c>
      <c r="K52" t="s">
        <v>28</v>
      </c>
      <c r="L52" t="s">
        <v>38</v>
      </c>
      <c r="M52" t="s">
        <v>29</v>
      </c>
      <c r="N52">
        <f>Table2[[#This Row],[Total Paid]]+Table2[[#This Row],[Due]]</f>
        <v>27115</v>
      </c>
      <c r="O52">
        <v>27115</v>
      </c>
      <c r="P52">
        <v>0</v>
      </c>
      <c r="Q52">
        <v>0</v>
      </c>
      <c r="R52">
        <v>9160</v>
      </c>
      <c r="S52">
        <v>0</v>
      </c>
      <c r="T52">
        <v>27115</v>
      </c>
      <c r="U52">
        <v>0</v>
      </c>
      <c r="V52">
        <v>17955</v>
      </c>
      <c r="W52" t="s">
        <v>51</v>
      </c>
      <c r="X52" s="6" t="s">
        <v>162</v>
      </c>
    </row>
    <row r="53" spans="1:24" x14ac:dyDescent="0.25">
      <c r="A53" t="s">
        <v>164</v>
      </c>
      <c r="B53" t="s">
        <v>65</v>
      </c>
      <c r="C53" t="s">
        <v>24</v>
      </c>
      <c r="D53">
        <v>5</v>
      </c>
      <c r="E53" s="1">
        <v>44959</v>
      </c>
      <c r="F53" t="s">
        <v>88</v>
      </c>
      <c r="G53" t="s">
        <v>26</v>
      </c>
      <c r="H53" t="str">
        <f>INDEX(Table1[Diagnosis],MATCH(I53,'codeand diagnosis'!$A$2:$A$11,0))</f>
        <v>Dental examination with radiology</v>
      </c>
      <c r="I53" t="s">
        <v>37</v>
      </c>
      <c r="J53" t="str">
        <f>INDEX(Table1[ICD-10 Code],MATCH(Table2[[#This Row],[Treatment]],Table1[Treatment Type],0))</f>
        <v>Z01.2</v>
      </c>
      <c r="K53" t="s">
        <v>28</v>
      </c>
      <c r="L53" t="s">
        <v>38</v>
      </c>
      <c r="M53" t="s">
        <v>29</v>
      </c>
      <c r="N53">
        <f>Table2[[#This Row],[Total Paid]]+Table2[[#This Row],[Due]]</f>
        <v>350</v>
      </c>
      <c r="O53">
        <v>0</v>
      </c>
      <c r="P53">
        <v>150</v>
      </c>
      <c r="Q53">
        <v>200</v>
      </c>
      <c r="R53">
        <v>0</v>
      </c>
      <c r="S53">
        <v>0</v>
      </c>
      <c r="T53">
        <v>350</v>
      </c>
      <c r="U53">
        <v>0</v>
      </c>
      <c r="V53">
        <v>350</v>
      </c>
      <c r="W53" t="s">
        <v>30</v>
      </c>
      <c r="X53" s="6" t="s">
        <v>162</v>
      </c>
    </row>
    <row r="54" spans="1:24" hidden="1" x14ac:dyDescent="0.25">
      <c r="A54" t="s">
        <v>165</v>
      </c>
      <c r="B54" t="s">
        <v>109</v>
      </c>
      <c r="C54" t="s">
        <v>34</v>
      </c>
      <c r="D54">
        <v>33</v>
      </c>
      <c r="E54" s="1">
        <v>44959</v>
      </c>
      <c r="F54" t="s">
        <v>35</v>
      </c>
      <c r="G54" t="s">
        <v>36</v>
      </c>
      <c r="H54" t="str">
        <f>INDEX(Table1[Diagnosis],MATCH(I54,'codeand diagnosis'!$A$2:$A$11,0))</f>
        <v>Retained dental root</v>
      </c>
      <c r="I54" t="s">
        <v>145</v>
      </c>
      <c r="J54" t="str">
        <f>INDEX(Table1[ICD-10 Code],MATCH(Table2[[#This Row],[Treatment]],Table1[Treatment Type],0))</f>
        <v>K08.3</v>
      </c>
      <c r="K54" t="s">
        <v>28</v>
      </c>
      <c r="L54" t="s">
        <v>28</v>
      </c>
      <c r="M54" t="s">
        <v>29</v>
      </c>
      <c r="N54">
        <f>Table2[[#This Row],[Total Paid]]+Table2[[#This Row],[Due]]</f>
        <v>3300</v>
      </c>
      <c r="O54">
        <v>3300</v>
      </c>
      <c r="P54">
        <v>0</v>
      </c>
      <c r="Q54">
        <v>0</v>
      </c>
      <c r="R54">
        <v>890</v>
      </c>
      <c r="S54">
        <v>0</v>
      </c>
      <c r="T54">
        <v>3300</v>
      </c>
      <c r="U54">
        <v>0</v>
      </c>
      <c r="V54">
        <v>2410</v>
      </c>
      <c r="W54" t="s">
        <v>51</v>
      </c>
      <c r="X54" s="6" t="s">
        <v>162</v>
      </c>
    </row>
    <row r="55" spans="1:24" hidden="1" x14ac:dyDescent="0.25">
      <c r="A55" t="s">
        <v>166</v>
      </c>
      <c r="B55" t="s">
        <v>167</v>
      </c>
      <c r="C55" t="s">
        <v>24</v>
      </c>
      <c r="D55">
        <v>54</v>
      </c>
      <c r="E55" s="1">
        <v>44987</v>
      </c>
      <c r="F55" t="s">
        <v>168</v>
      </c>
      <c r="G55" t="s">
        <v>36</v>
      </c>
      <c r="H55" t="str">
        <f>INDEX(Table1[Diagnosis],MATCH(I55,'codeand diagnosis'!$A$2:$A$11,0))</f>
        <v>Gingivitis</v>
      </c>
      <c r="I55" t="s">
        <v>27</v>
      </c>
      <c r="J55" t="str">
        <f>INDEX(Table1[ICD-10 Code],MATCH(Table2[[#This Row],[Treatment]],Table1[Treatment Type],0))</f>
        <v>K05.10</v>
      </c>
      <c r="K55" t="s">
        <v>28</v>
      </c>
      <c r="L55" t="s">
        <v>38</v>
      </c>
      <c r="M55" t="s">
        <v>46</v>
      </c>
      <c r="N55">
        <f>Table2[[#This Row],[Total Paid]]+Table2[[#This Row],[Due]]</f>
        <v>689</v>
      </c>
      <c r="O55">
        <v>689</v>
      </c>
      <c r="P55">
        <v>0</v>
      </c>
      <c r="Q55">
        <v>0</v>
      </c>
      <c r="R55">
        <v>0</v>
      </c>
      <c r="S55">
        <v>0</v>
      </c>
      <c r="T55">
        <v>689</v>
      </c>
      <c r="U55">
        <v>0</v>
      </c>
      <c r="V55">
        <v>689</v>
      </c>
      <c r="W55" t="s">
        <v>51</v>
      </c>
      <c r="X55" s="6" t="s">
        <v>162</v>
      </c>
    </row>
    <row r="56" spans="1:24" hidden="1" x14ac:dyDescent="0.25">
      <c r="A56" t="s">
        <v>169</v>
      </c>
      <c r="B56" t="s">
        <v>80</v>
      </c>
      <c r="C56" t="s">
        <v>34</v>
      </c>
      <c r="D56">
        <v>72</v>
      </c>
      <c r="E56" s="1">
        <v>44987</v>
      </c>
      <c r="F56" t="s">
        <v>60</v>
      </c>
      <c r="G56" t="s">
        <v>26</v>
      </c>
      <c r="H56" t="str">
        <f>INDEX(Table1[Diagnosis],MATCH(I56,'codeand diagnosis'!$A$2:$A$11,0))</f>
        <v>Dental examination</v>
      </c>
      <c r="I56" t="s">
        <v>45</v>
      </c>
      <c r="J56" t="str">
        <f>INDEX(Table1[ICD-10 Code],MATCH(Table2[[#This Row],[Treatment]],Table1[Treatment Type],0))</f>
        <v>Z01.2</v>
      </c>
      <c r="K56" t="s">
        <v>28</v>
      </c>
      <c r="L56" t="s">
        <v>28</v>
      </c>
      <c r="M56" t="s">
        <v>46</v>
      </c>
      <c r="N56">
        <f>Table2[[#This Row],[Total Paid]]+Table2[[#This Row],[Due]]</f>
        <v>200</v>
      </c>
      <c r="O56">
        <v>0</v>
      </c>
      <c r="P56">
        <v>0</v>
      </c>
      <c r="Q56">
        <v>200</v>
      </c>
      <c r="R56">
        <v>0</v>
      </c>
      <c r="S56">
        <v>0</v>
      </c>
      <c r="T56">
        <v>200</v>
      </c>
      <c r="U56">
        <v>0</v>
      </c>
      <c r="V56">
        <v>200</v>
      </c>
      <c r="W56" t="s">
        <v>30</v>
      </c>
      <c r="X56" s="6" t="s">
        <v>162</v>
      </c>
    </row>
    <row r="57" spans="1:24" hidden="1" x14ac:dyDescent="0.25">
      <c r="A57" t="s">
        <v>170</v>
      </c>
      <c r="B57" t="s">
        <v>171</v>
      </c>
      <c r="C57" t="s">
        <v>24</v>
      </c>
      <c r="D57">
        <v>27</v>
      </c>
      <c r="E57" s="1">
        <v>45018</v>
      </c>
      <c r="F57" t="s">
        <v>88</v>
      </c>
      <c r="G57" t="s">
        <v>26</v>
      </c>
      <c r="H57" t="str">
        <f>INDEX(Table1[Diagnosis],MATCH(I57,'codeand diagnosis'!$A$2:$A$11,0))</f>
        <v>Dental examination with radiology</v>
      </c>
      <c r="I57" t="s">
        <v>37</v>
      </c>
      <c r="J57" t="str">
        <f>INDEX(Table1[ICD-10 Code],MATCH(Table2[[#This Row],[Treatment]],Table1[Treatment Type],0))</f>
        <v>Z01.2</v>
      </c>
      <c r="K57" t="s">
        <v>28</v>
      </c>
      <c r="L57" t="s">
        <v>38</v>
      </c>
      <c r="M57" t="s">
        <v>61</v>
      </c>
      <c r="N57">
        <f>Table2[[#This Row],[Total Paid]]+Table2[[#This Row],[Due]]</f>
        <v>210</v>
      </c>
      <c r="O57">
        <v>0</v>
      </c>
      <c r="P57">
        <v>150</v>
      </c>
      <c r="Q57">
        <v>200</v>
      </c>
      <c r="R57">
        <v>0</v>
      </c>
      <c r="S57">
        <v>140</v>
      </c>
      <c r="T57">
        <v>210</v>
      </c>
      <c r="U57">
        <v>0</v>
      </c>
      <c r="V57">
        <v>210</v>
      </c>
      <c r="W57" t="s">
        <v>51</v>
      </c>
      <c r="X57" s="6" t="s">
        <v>162</v>
      </c>
    </row>
    <row r="58" spans="1:24" hidden="1" x14ac:dyDescent="0.25">
      <c r="A58" t="s">
        <v>172</v>
      </c>
      <c r="B58" t="s">
        <v>173</v>
      </c>
      <c r="C58" t="s">
        <v>24</v>
      </c>
      <c r="D58">
        <v>46</v>
      </c>
      <c r="E58" s="1">
        <v>45018</v>
      </c>
      <c r="F58" t="s">
        <v>88</v>
      </c>
      <c r="G58" t="s">
        <v>26</v>
      </c>
      <c r="H58" t="str">
        <f>INDEX(Table1[Diagnosis],MATCH(I58,'codeand diagnosis'!$A$2:$A$11,0))</f>
        <v>Gingivitis</v>
      </c>
      <c r="I58" t="s">
        <v>27</v>
      </c>
      <c r="J58" t="str">
        <f>INDEX(Table1[ICD-10 Code],MATCH(Table2[[#This Row],[Treatment]],Table1[Treatment Type],0))</f>
        <v>K05.10</v>
      </c>
      <c r="K58" t="s">
        <v>28</v>
      </c>
      <c r="L58" t="s">
        <v>28</v>
      </c>
      <c r="M58" t="s">
        <v>29</v>
      </c>
      <c r="N58">
        <f>Table2[[#This Row],[Total Paid]]+Table2[[#This Row],[Due]]</f>
        <v>417</v>
      </c>
      <c r="O58">
        <v>417</v>
      </c>
      <c r="P58">
        <v>0</v>
      </c>
      <c r="Q58">
        <v>0</v>
      </c>
      <c r="R58">
        <v>0</v>
      </c>
      <c r="S58">
        <v>0</v>
      </c>
      <c r="T58">
        <v>417</v>
      </c>
      <c r="U58">
        <v>0</v>
      </c>
      <c r="V58">
        <v>417</v>
      </c>
      <c r="W58" t="s">
        <v>42</v>
      </c>
      <c r="X58" s="6" t="s">
        <v>162</v>
      </c>
    </row>
    <row r="59" spans="1:24" hidden="1" x14ac:dyDescent="0.25">
      <c r="A59" t="s">
        <v>174</v>
      </c>
      <c r="B59" t="s">
        <v>156</v>
      </c>
      <c r="C59" t="s">
        <v>24</v>
      </c>
      <c r="D59">
        <v>68</v>
      </c>
      <c r="E59" s="1">
        <v>45109</v>
      </c>
      <c r="F59" t="s">
        <v>132</v>
      </c>
      <c r="G59" t="s">
        <v>26</v>
      </c>
      <c r="H59" t="str">
        <f>INDEX(Table1[Diagnosis],MATCH(I59,'codeand diagnosis'!$A$2:$A$11,0))</f>
        <v>Gingivitis</v>
      </c>
      <c r="I59" t="s">
        <v>27</v>
      </c>
      <c r="J59" t="str">
        <f>INDEX(Table1[ICD-10 Code],MATCH(Table2[[#This Row],[Treatment]],Table1[Treatment Type],0))</f>
        <v>K05.10</v>
      </c>
      <c r="K59" t="s">
        <v>28</v>
      </c>
      <c r="L59" t="s">
        <v>38</v>
      </c>
      <c r="M59" t="s">
        <v>29</v>
      </c>
      <c r="N59">
        <f>Table2[[#This Row],[Total Paid]]+Table2[[#This Row],[Due]]</f>
        <v>555</v>
      </c>
      <c r="O59">
        <v>555</v>
      </c>
      <c r="P59">
        <v>0</v>
      </c>
      <c r="Q59">
        <v>0</v>
      </c>
      <c r="R59">
        <v>0</v>
      </c>
      <c r="S59">
        <v>0</v>
      </c>
      <c r="T59">
        <v>555</v>
      </c>
      <c r="U59">
        <v>0</v>
      </c>
      <c r="V59">
        <v>555</v>
      </c>
      <c r="W59" t="s">
        <v>51</v>
      </c>
      <c r="X59" s="6" t="s">
        <v>162</v>
      </c>
    </row>
    <row r="60" spans="1:24" hidden="1" x14ac:dyDescent="0.25">
      <c r="A60" t="s">
        <v>175</v>
      </c>
      <c r="B60" t="s">
        <v>75</v>
      </c>
      <c r="C60" t="s">
        <v>24</v>
      </c>
      <c r="D60">
        <v>62</v>
      </c>
      <c r="E60" s="1">
        <v>45109</v>
      </c>
      <c r="F60" t="s">
        <v>35</v>
      </c>
      <c r="G60" t="s">
        <v>26</v>
      </c>
      <c r="H60" t="str">
        <f>INDEX(Table1[Diagnosis],MATCH(I60,'codeand diagnosis'!$A$2:$A$11,0))</f>
        <v>Dental examination</v>
      </c>
      <c r="I60" t="s">
        <v>45</v>
      </c>
      <c r="J60" t="str">
        <f>INDEX(Table1[ICD-10 Code],MATCH(Table2[[#This Row],[Treatment]],Table1[Treatment Type],0))</f>
        <v>Z01.2</v>
      </c>
      <c r="K60" t="s">
        <v>28</v>
      </c>
      <c r="L60" t="s">
        <v>28</v>
      </c>
      <c r="M60" t="s">
        <v>29</v>
      </c>
      <c r="N60">
        <f>Table2[[#This Row],[Total Paid]]+Table2[[#This Row],[Due]]</f>
        <v>120</v>
      </c>
      <c r="O60">
        <v>0</v>
      </c>
      <c r="P60">
        <v>0</v>
      </c>
      <c r="Q60">
        <v>200</v>
      </c>
      <c r="R60">
        <v>0</v>
      </c>
      <c r="S60">
        <v>80</v>
      </c>
      <c r="T60">
        <v>120</v>
      </c>
      <c r="U60">
        <v>0</v>
      </c>
      <c r="V60">
        <v>120</v>
      </c>
      <c r="W60" t="s">
        <v>51</v>
      </c>
      <c r="X60" s="6" t="s">
        <v>162</v>
      </c>
    </row>
    <row r="61" spans="1:24" hidden="1" x14ac:dyDescent="0.25">
      <c r="A61" t="s">
        <v>176</v>
      </c>
      <c r="B61" t="s">
        <v>177</v>
      </c>
      <c r="C61" t="s">
        <v>34</v>
      </c>
      <c r="D61">
        <v>45</v>
      </c>
      <c r="E61" s="1">
        <v>45140</v>
      </c>
      <c r="F61" t="s">
        <v>50</v>
      </c>
      <c r="G61" t="s">
        <v>26</v>
      </c>
      <c r="H61" t="str">
        <f>INDEX(Table1[Diagnosis],MATCH(I61,'codeand diagnosis'!$A$2:$A$11,0))</f>
        <v>Dental examination</v>
      </c>
      <c r="I61" t="s">
        <v>45</v>
      </c>
      <c r="J61" t="str">
        <f>INDEX(Table1[ICD-10 Code],MATCH(Table2[[#This Row],[Treatment]],Table1[Treatment Type],0))</f>
        <v>Z01.2</v>
      </c>
      <c r="K61" t="s">
        <v>28</v>
      </c>
      <c r="L61" t="s">
        <v>28</v>
      </c>
      <c r="M61" t="s">
        <v>29</v>
      </c>
      <c r="N61">
        <f>Table2[[#This Row],[Total Paid]]+Table2[[#This Row],[Due]]</f>
        <v>200</v>
      </c>
      <c r="O61">
        <v>0</v>
      </c>
      <c r="P61">
        <v>0</v>
      </c>
      <c r="Q61">
        <v>200</v>
      </c>
      <c r="R61">
        <v>0</v>
      </c>
      <c r="S61">
        <v>0</v>
      </c>
      <c r="T61">
        <v>200</v>
      </c>
      <c r="U61">
        <v>0</v>
      </c>
      <c r="V61">
        <v>200</v>
      </c>
      <c r="W61" t="s">
        <v>42</v>
      </c>
      <c r="X61" s="6" t="s">
        <v>162</v>
      </c>
    </row>
    <row r="62" spans="1:24" hidden="1" x14ac:dyDescent="0.25">
      <c r="A62" t="s">
        <v>178</v>
      </c>
      <c r="B62" t="s">
        <v>91</v>
      </c>
      <c r="C62" t="s">
        <v>34</v>
      </c>
      <c r="D62">
        <v>52</v>
      </c>
      <c r="E62" s="1">
        <v>45140</v>
      </c>
      <c r="F62" t="s">
        <v>104</v>
      </c>
      <c r="G62" t="s">
        <v>26</v>
      </c>
      <c r="H62" t="str">
        <f>INDEX(Table1[Diagnosis],MATCH(I62,'codeand diagnosis'!$A$2:$A$11,0))</f>
        <v>Malocclusion</v>
      </c>
      <c r="I62" t="s">
        <v>89</v>
      </c>
      <c r="J62" t="str">
        <f>INDEX(Table1[ICD-10 Code],MATCH(Table2[[#This Row],[Treatment]],Table1[Treatment Type],0))</f>
        <v>K07.4</v>
      </c>
      <c r="K62" t="s">
        <v>28</v>
      </c>
      <c r="L62" t="s">
        <v>38</v>
      </c>
      <c r="M62" t="s">
        <v>29</v>
      </c>
      <c r="N62">
        <f>Table2[[#This Row],[Total Paid]]+Table2[[#This Row],[Due]]</f>
        <v>11805</v>
      </c>
      <c r="O62">
        <v>13305</v>
      </c>
      <c r="P62">
        <v>0</v>
      </c>
      <c r="Q62">
        <v>0</v>
      </c>
      <c r="R62">
        <v>2120</v>
      </c>
      <c r="S62">
        <v>1500</v>
      </c>
      <c r="T62">
        <v>11805</v>
      </c>
      <c r="U62">
        <v>0</v>
      </c>
      <c r="V62">
        <v>9685</v>
      </c>
      <c r="W62" t="s">
        <v>51</v>
      </c>
      <c r="X62" s="6" t="s">
        <v>162</v>
      </c>
    </row>
    <row r="63" spans="1:24" hidden="1" x14ac:dyDescent="0.25">
      <c r="A63" t="s">
        <v>179</v>
      </c>
      <c r="B63" t="s">
        <v>180</v>
      </c>
      <c r="C63" t="s">
        <v>24</v>
      </c>
      <c r="D63">
        <v>23</v>
      </c>
      <c r="E63" s="1">
        <v>45140</v>
      </c>
      <c r="F63" t="s">
        <v>35</v>
      </c>
      <c r="G63" t="s">
        <v>26</v>
      </c>
      <c r="H63" t="str">
        <f>INDEX(Table1[Diagnosis],MATCH(I63,'codeand diagnosis'!$A$2:$A$11,0))</f>
        <v>Gingivitis</v>
      </c>
      <c r="I63" t="s">
        <v>27</v>
      </c>
      <c r="J63" t="str">
        <f>INDEX(Table1[ICD-10 Code],MATCH(Table2[[#This Row],[Treatment]],Table1[Treatment Type],0))</f>
        <v>K05.10</v>
      </c>
      <c r="K63" t="s">
        <v>28</v>
      </c>
      <c r="L63" t="s">
        <v>28</v>
      </c>
      <c r="M63" t="s">
        <v>29</v>
      </c>
      <c r="N63">
        <f>Table2[[#This Row],[Total Paid]]+Table2[[#This Row],[Due]]</f>
        <v>492</v>
      </c>
      <c r="O63">
        <v>492</v>
      </c>
      <c r="P63">
        <v>0</v>
      </c>
      <c r="Q63">
        <v>0</v>
      </c>
      <c r="R63">
        <v>0</v>
      </c>
      <c r="S63">
        <v>0</v>
      </c>
      <c r="T63">
        <v>492</v>
      </c>
      <c r="U63">
        <v>0</v>
      </c>
      <c r="V63">
        <v>492</v>
      </c>
      <c r="W63" t="s">
        <v>42</v>
      </c>
      <c r="X63" s="6" t="s">
        <v>162</v>
      </c>
    </row>
    <row r="64" spans="1:24" hidden="1" x14ac:dyDescent="0.25">
      <c r="A64" t="s">
        <v>181</v>
      </c>
      <c r="B64" t="s">
        <v>182</v>
      </c>
      <c r="C64" t="s">
        <v>24</v>
      </c>
      <c r="D64">
        <v>41</v>
      </c>
      <c r="E64" s="1">
        <v>45171</v>
      </c>
      <c r="F64" t="s">
        <v>35</v>
      </c>
      <c r="G64" t="s">
        <v>26</v>
      </c>
      <c r="H64" t="str">
        <f>INDEX(Table1[Diagnosis],MATCH(I64,'codeand diagnosis'!$A$2:$A$11,0))</f>
        <v>Gingivitis</v>
      </c>
      <c r="I64" t="s">
        <v>27</v>
      </c>
      <c r="J64" t="str">
        <f>INDEX(Table1[ICD-10 Code],MATCH(Table2[[#This Row],[Treatment]],Table1[Treatment Type],0))</f>
        <v>K05.10</v>
      </c>
      <c r="K64" t="s">
        <v>28</v>
      </c>
      <c r="L64" t="s">
        <v>38</v>
      </c>
      <c r="M64" t="s">
        <v>29</v>
      </c>
      <c r="N64">
        <f>Table2[[#This Row],[Total Paid]]+Table2[[#This Row],[Due]]</f>
        <v>419.4</v>
      </c>
      <c r="O64">
        <v>699</v>
      </c>
      <c r="P64">
        <v>0</v>
      </c>
      <c r="Q64">
        <v>0</v>
      </c>
      <c r="R64">
        <v>0</v>
      </c>
      <c r="S64">
        <v>279.60000000000002</v>
      </c>
      <c r="T64">
        <v>419.4</v>
      </c>
      <c r="U64">
        <v>0</v>
      </c>
      <c r="V64">
        <v>419.4</v>
      </c>
      <c r="W64" t="s">
        <v>51</v>
      </c>
      <c r="X64" s="6" t="s">
        <v>162</v>
      </c>
    </row>
    <row r="65" spans="1:24" hidden="1" x14ac:dyDescent="0.25">
      <c r="A65" t="s">
        <v>183</v>
      </c>
      <c r="B65" t="s">
        <v>184</v>
      </c>
      <c r="C65" t="s">
        <v>34</v>
      </c>
      <c r="D65">
        <v>46</v>
      </c>
      <c r="E65" s="1">
        <v>45201</v>
      </c>
      <c r="F65" t="s">
        <v>50</v>
      </c>
      <c r="G65" t="s">
        <v>26</v>
      </c>
      <c r="H65" t="str">
        <f>INDEX(Table1[Diagnosis],MATCH(I65,'codeand diagnosis'!$A$2:$A$11,0))</f>
        <v>Malocclusion</v>
      </c>
      <c r="I65" t="s">
        <v>89</v>
      </c>
      <c r="J65" t="str">
        <f>INDEX(Table1[ICD-10 Code],MATCH(Table2[[#This Row],[Treatment]],Table1[Treatment Type],0))</f>
        <v>K07.4</v>
      </c>
      <c r="K65" t="s">
        <v>28</v>
      </c>
      <c r="L65" t="s">
        <v>28</v>
      </c>
      <c r="M65" t="s">
        <v>29</v>
      </c>
      <c r="N65">
        <f>Table2[[#This Row],[Total Paid]]+Table2[[#This Row],[Due]]</f>
        <v>17062</v>
      </c>
      <c r="O65">
        <v>17062</v>
      </c>
      <c r="P65">
        <v>0</v>
      </c>
      <c r="Q65">
        <v>0</v>
      </c>
      <c r="R65">
        <v>4460</v>
      </c>
      <c r="S65">
        <v>0</v>
      </c>
      <c r="T65">
        <v>17062</v>
      </c>
      <c r="U65">
        <v>0</v>
      </c>
      <c r="V65">
        <v>12602</v>
      </c>
      <c r="W65" t="s">
        <v>47</v>
      </c>
      <c r="X65" s="6" t="s">
        <v>162</v>
      </c>
    </row>
    <row r="66" spans="1:24" hidden="1" x14ac:dyDescent="0.25">
      <c r="A66" t="s">
        <v>185</v>
      </c>
      <c r="B66" t="s">
        <v>186</v>
      </c>
      <c r="C66" t="s">
        <v>34</v>
      </c>
      <c r="D66">
        <v>16</v>
      </c>
      <c r="E66" s="1">
        <v>45201</v>
      </c>
      <c r="F66" t="s">
        <v>50</v>
      </c>
      <c r="G66" t="s">
        <v>36</v>
      </c>
      <c r="H66" t="str">
        <f>INDEX(Table1[Diagnosis],MATCH(I66,'codeand diagnosis'!$A$2:$A$11,0))</f>
        <v>Dental examination with radiology</v>
      </c>
      <c r="I66" t="s">
        <v>37</v>
      </c>
      <c r="J66" t="str">
        <f>INDEX(Table1[ICD-10 Code],MATCH(Table2[[#This Row],[Treatment]],Table1[Treatment Type],0))</f>
        <v>Z01.2</v>
      </c>
      <c r="K66" t="s">
        <v>28</v>
      </c>
      <c r="L66" t="s">
        <v>38</v>
      </c>
      <c r="M66" t="s">
        <v>29</v>
      </c>
      <c r="N66">
        <f>Table2[[#This Row],[Total Paid]]+Table2[[#This Row],[Due]]</f>
        <v>350</v>
      </c>
      <c r="O66">
        <v>0</v>
      </c>
      <c r="P66">
        <v>150</v>
      </c>
      <c r="Q66">
        <v>200</v>
      </c>
      <c r="R66">
        <v>0</v>
      </c>
      <c r="S66">
        <v>0</v>
      </c>
      <c r="T66">
        <v>350</v>
      </c>
      <c r="U66">
        <v>0</v>
      </c>
      <c r="V66">
        <v>350</v>
      </c>
      <c r="W66" t="s">
        <v>47</v>
      </c>
      <c r="X66" s="6" t="s">
        <v>162</v>
      </c>
    </row>
    <row r="67" spans="1:24" hidden="1" x14ac:dyDescent="0.25">
      <c r="A67" t="s">
        <v>187</v>
      </c>
      <c r="B67" t="s">
        <v>188</v>
      </c>
      <c r="C67" t="s">
        <v>34</v>
      </c>
      <c r="D67">
        <v>14</v>
      </c>
      <c r="E67" t="s">
        <v>189</v>
      </c>
      <c r="F67" t="s">
        <v>50</v>
      </c>
      <c r="G67" t="s">
        <v>26</v>
      </c>
      <c r="H67" t="str">
        <f>INDEX(Table1[Diagnosis],MATCH(I67,'codeand diagnosis'!$A$2:$A$11,0))</f>
        <v>Missing teeth</v>
      </c>
      <c r="I67" t="s">
        <v>78</v>
      </c>
      <c r="J67" t="str">
        <f>INDEX(Table1[ICD-10 Code],MATCH(Table2[[#This Row],[Treatment]],Table1[Treatment Type],0))</f>
        <v>K08.1</v>
      </c>
      <c r="K67" t="s">
        <v>28</v>
      </c>
      <c r="L67" t="s">
        <v>28</v>
      </c>
      <c r="M67" t="s">
        <v>29</v>
      </c>
      <c r="N67">
        <f>Table2[[#This Row],[Total Paid]]+Table2[[#This Row],[Due]]</f>
        <v>26978</v>
      </c>
      <c r="O67">
        <v>27028</v>
      </c>
      <c r="P67">
        <v>0</v>
      </c>
      <c r="Q67">
        <v>0</v>
      </c>
      <c r="R67">
        <v>7950</v>
      </c>
      <c r="S67">
        <v>50</v>
      </c>
      <c r="T67">
        <v>26978</v>
      </c>
      <c r="U67">
        <v>0</v>
      </c>
      <c r="V67">
        <v>19028</v>
      </c>
      <c r="W67" t="s">
        <v>42</v>
      </c>
      <c r="X67" s="6" t="s">
        <v>162</v>
      </c>
    </row>
    <row r="68" spans="1:24" hidden="1" x14ac:dyDescent="0.25">
      <c r="A68" t="s">
        <v>190</v>
      </c>
      <c r="B68" t="s">
        <v>73</v>
      </c>
      <c r="C68" t="s">
        <v>34</v>
      </c>
      <c r="D68">
        <v>16</v>
      </c>
      <c r="E68" t="s">
        <v>191</v>
      </c>
      <c r="F68" t="s">
        <v>50</v>
      </c>
      <c r="G68" t="s">
        <v>36</v>
      </c>
      <c r="H68" t="str">
        <f>INDEX(Table1[Diagnosis],MATCH(I68,'codeand diagnosis'!$A$2:$A$11,0))</f>
        <v>Dental examination with radiology</v>
      </c>
      <c r="I68" t="s">
        <v>37</v>
      </c>
      <c r="J68" t="str">
        <f>INDEX(Table1[ICD-10 Code],MATCH(Table2[[#This Row],[Treatment]],Table1[Treatment Type],0))</f>
        <v>Z01.2</v>
      </c>
      <c r="K68" t="s">
        <v>28</v>
      </c>
      <c r="L68" t="s">
        <v>38</v>
      </c>
      <c r="M68" t="s">
        <v>29</v>
      </c>
      <c r="N68">
        <f>Table2[[#This Row],[Total Paid]]+Table2[[#This Row],[Due]]</f>
        <v>350</v>
      </c>
      <c r="O68">
        <v>0</v>
      </c>
      <c r="P68">
        <v>150</v>
      </c>
      <c r="Q68">
        <v>200</v>
      </c>
      <c r="R68">
        <v>0</v>
      </c>
      <c r="S68">
        <v>0</v>
      </c>
      <c r="T68">
        <v>350</v>
      </c>
      <c r="U68">
        <v>0</v>
      </c>
      <c r="V68">
        <v>350</v>
      </c>
      <c r="W68" t="s">
        <v>42</v>
      </c>
      <c r="X68" s="6" t="s">
        <v>162</v>
      </c>
    </row>
    <row r="69" spans="1:24" hidden="1" x14ac:dyDescent="0.25">
      <c r="A69" t="s">
        <v>192</v>
      </c>
      <c r="B69" t="s">
        <v>151</v>
      </c>
      <c r="C69" t="s">
        <v>24</v>
      </c>
      <c r="D69">
        <v>55</v>
      </c>
      <c r="E69" t="s">
        <v>191</v>
      </c>
      <c r="F69" t="s">
        <v>88</v>
      </c>
      <c r="G69" t="s">
        <v>26</v>
      </c>
      <c r="H69" t="str">
        <f>INDEX(Table1[Diagnosis],MATCH(I69,'codeand diagnosis'!$A$2:$A$11,0))</f>
        <v>Cosmetic procedure</v>
      </c>
      <c r="I69" t="s">
        <v>55</v>
      </c>
      <c r="J69" t="str">
        <f>INDEX(Table1[ICD-10 Code],MATCH(Table2[[#This Row],[Treatment]],Table1[Treatment Type],0))</f>
        <v>Z41.1</v>
      </c>
      <c r="K69" t="s">
        <v>28</v>
      </c>
      <c r="L69" t="s">
        <v>38</v>
      </c>
      <c r="M69" t="s">
        <v>29</v>
      </c>
      <c r="N69">
        <f>Table2[[#This Row],[Total Paid]]+Table2[[#This Row],[Due]]</f>
        <v>1439</v>
      </c>
      <c r="O69">
        <v>1439</v>
      </c>
      <c r="P69">
        <v>0</v>
      </c>
      <c r="Q69">
        <v>0</v>
      </c>
      <c r="R69">
        <v>0</v>
      </c>
      <c r="S69">
        <v>0</v>
      </c>
      <c r="T69">
        <v>1439</v>
      </c>
      <c r="U69">
        <v>0</v>
      </c>
      <c r="V69">
        <v>1439</v>
      </c>
      <c r="W69" t="s">
        <v>42</v>
      </c>
      <c r="X69" s="6" t="s">
        <v>162</v>
      </c>
    </row>
    <row r="70" spans="1:24" hidden="1" x14ac:dyDescent="0.25">
      <c r="A70" t="s">
        <v>193</v>
      </c>
      <c r="B70" t="s">
        <v>194</v>
      </c>
      <c r="C70" t="s">
        <v>34</v>
      </c>
      <c r="D70">
        <v>37</v>
      </c>
      <c r="E70" t="s">
        <v>195</v>
      </c>
      <c r="F70" t="s">
        <v>50</v>
      </c>
      <c r="G70" t="s">
        <v>36</v>
      </c>
      <c r="H70" t="str">
        <f>INDEX(Table1[Diagnosis],MATCH(I70,'codeand diagnosis'!$A$2:$A$11,0))</f>
        <v>Loss of teeth</v>
      </c>
      <c r="I70" t="s">
        <v>68</v>
      </c>
      <c r="J70" t="str">
        <f>INDEX(Table1[ICD-10 Code],MATCH(Table2[[#This Row],[Treatment]],Table1[Treatment Type],0))</f>
        <v>K08.1</v>
      </c>
      <c r="K70" t="s">
        <v>28</v>
      </c>
      <c r="L70" t="s">
        <v>38</v>
      </c>
      <c r="M70" t="s">
        <v>29</v>
      </c>
      <c r="N70">
        <f>Table2[[#This Row],[Total Paid]]+Table2[[#This Row],[Due]]</f>
        <v>844</v>
      </c>
      <c r="O70">
        <v>844</v>
      </c>
      <c r="P70">
        <v>0</v>
      </c>
      <c r="Q70">
        <v>0</v>
      </c>
      <c r="R70">
        <v>0</v>
      </c>
      <c r="S70">
        <v>0</v>
      </c>
      <c r="T70">
        <v>844</v>
      </c>
      <c r="U70">
        <v>0</v>
      </c>
      <c r="V70">
        <v>844</v>
      </c>
      <c r="W70" t="s">
        <v>42</v>
      </c>
      <c r="X70" s="6" t="s">
        <v>162</v>
      </c>
    </row>
    <row r="71" spans="1:24" hidden="1" x14ac:dyDescent="0.25">
      <c r="A71" t="s">
        <v>196</v>
      </c>
      <c r="B71" t="s">
        <v>197</v>
      </c>
      <c r="C71" t="s">
        <v>24</v>
      </c>
      <c r="D71">
        <v>32</v>
      </c>
      <c r="E71" t="s">
        <v>195</v>
      </c>
      <c r="F71" t="s">
        <v>35</v>
      </c>
      <c r="G71" t="s">
        <v>26</v>
      </c>
      <c r="H71" t="str">
        <f>INDEX(Table1[Diagnosis],MATCH(I71,'codeand diagnosis'!$A$2:$A$11,0))</f>
        <v>Dental examination</v>
      </c>
      <c r="I71" t="s">
        <v>45</v>
      </c>
      <c r="J71" t="str">
        <f>INDEX(Table1[ICD-10 Code],MATCH(Table2[[#This Row],[Treatment]],Table1[Treatment Type],0))</f>
        <v>Z01.2</v>
      </c>
      <c r="K71" t="s">
        <v>28</v>
      </c>
      <c r="L71" t="s">
        <v>28</v>
      </c>
      <c r="M71" t="s">
        <v>29</v>
      </c>
      <c r="N71">
        <f>Table2[[#This Row],[Total Paid]]+Table2[[#This Row],[Due]]</f>
        <v>200</v>
      </c>
      <c r="O71">
        <v>0</v>
      </c>
      <c r="P71">
        <v>0</v>
      </c>
      <c r="Q71">
        <v>200</v>
      </c>
      <c r="R71">
        <v>0</v>
      </c>
      <c r="S71">
        <v>0</v>
      </c>
      <c r="T71">
        <v>200</v>
      </c>
      <c r="U71">
        <v>0</v>
      </c>
      <c r="V71">
        <v>200</v>
      </c>
      <c r="W71" t="s">
        <v>51</v>
      </c>
      <c r="X71" s="6" t="s">
        <v>162</v>
      </c>
    </row>
    <row r="72" spans="1:24" hidden="1" x14ac:dyDescent="0.25">
      <c r="A72" t="s">
        <v>198</v>
      </c>
      <c r="B72" t="s">
        <v>194</v>
      </c>
      <c r="C72" t="s">
        <v>34</v>
      </c>
      <c r="D72">
        <v>52</v>
      </c>
      <c r="E72" t="s">
        <v>199</v>
      </c>
      <c r="F72" t="s">
        <v>88</v>
      </c>
      <c r="G72" t="s">
        <v>26</v>
      </c>
      <c r="H72" t="str">
        <f>INDEX(Table1[Diagnosis],MATCH(I72,'codeand diagnosis'!$A$2:$A$11,0))</f>
        <v>Missing teeth</v>
      </c>
      <c r="I72" t="s">
        <v>78</v>
      </c>
      <c r="J72" t="str">
        <f>INDEX(Table1[ICD-10 Code],MATCH(Table2[[#This Row],[Treatment]],Table1[Treatment Type],0))</f>
        <v>K08.1</v>
      </c>
      <c r="K72" t="s">
        <v>28</v>
      </c>
      <c r="L72" t="s">
        <v>38</v>
      </c>
      <c r="M72" t="s">
        <v>29</v>
      </c>
      <c r="N72">
        <f>Table2[[#This Row],[Total Paid]]+Table2[[#This Row],[Due]]</f>
        <v>22187</v>
      </c>
      <c r="O72">
        <v>22187</v>
      </c>
      <c r="P72">
        <v>0</v>
      </c>
      <c r="Q72">
        <v>0</v>
      </c>
      <c r="R72">
        <v>6720</v>
      </c>
      <c r="S72">
        <v>0</v>
      </c>
      <c r="T72">
        <v>18471</v>
      </c>
      <c r="U72">
        <v>3716</v>
      </c>
      <c r="V72">
        <v>11751</v>
      </c>
      <c r="W72" t="s">
        <v>47</v>
      </c>
      <c r="X72" s="6" t="s">
        <v>162</v>
      </c>
    </row>
    <row r="73" spans="1:24" hidden="1" x14ac:dyDescent="0.25">
      <c r="A73" t="s">
        <v>200</v>
      </c>
      <c r="B73" t="s">
        <v>201</v>
      </c>
      <c r="C73" t="s">
        <v>34</v>
      </c>
      <c r="D73">
        <v>69</v>
      </c>
      <c r="E73" t="s">
        <v>199</v>
      </c>
      <c r="F73" t="s">
        <v>88</v>
      </c>
      <c r="G73" t="s">
        <v>36</v>
      </c>
      <c r="H73" t="str">
        <f>INDEX(Table1[Diagnosis],MATCH(I73,'codeand diagnosis'!$A$2:$A$11,0))</f>
        <v>Dental examination</v>
      </c>
      <c r="I73" t="s">
        <v>45</v>
      </c>
      <c r="J73" t="str">
        <f>INDEX(Table1[ICD-10 Code],MATCH(Table2[[#This Row],[Treatment]],Table1[Treatment Type],0))</f>
        <v>Z01.2</v>
      </c>
      <c r="K73" t="s">
        <v>28</v>
      </c>
      <c r="L73" t="s">
        <v>28</v>
      </c>
      <c r="M73" t="s">
        <v>46</v>
      </c>
      <c r="N73">
        <f>Table2[[#This Row],[Total Paid]]+Table2[[#This Row],[Due]]</f>
        <v>200</v>
      </c>
      <c r="O73">
        <v>0</v>
      </c>
      <c r="P73">
        <v>0</v>
      </c>
      <c r="Q73">
        <v>200</v>
      </c>
      <c r="R73">
        <v>0</v>
      </c>
      <c r="S73">
        <v>0</v>
      </c>
      <c r="T73">
        <v>200</v>
      </c>
      <c r="U73">
        <v>0</v>
      </c>
      <c r="V73">
        <v>200</v>
      </c>
      <c r="W73" t="s">
        <v>51</v>
      </c>
      <c r="X73" s="6" t="s">
        <v>162</v>
      </c>
    </row>
    <row r="74" spans="1:24" hidden="1" x14ac:dyDescent="0.25">
      <c r="A74" t="s">
        <v>202</v>
      </c>
      <c r="B74" t="s">
        <v>159</v>
      </c>
      <c r="C74" t="s">
        <v>24</v>
      </c>
      <c r="D74">
        <v>57</v>
      </c>
      <c r="E74" t="s">
        <v>199</v>
      </c>
      <c r="F74" t="s">
        <v>50</v>
      </c>
      <c r="G74" t="s">
        <v>36</v>
      </c>
      <c r="H74" t="str">
        <f>INDEX(Table1[Diagnosis],MATCH(I74,'codeand diagnosis'!$A$2:$A$11,0))</f>
        <v>Dental examination</v>
      </c>
      <c r="I74" t="s">
        <v>45</v>
      </c>
      <c r="J74" t="str">
        <f>INDEX(Table1[ICD-10 Code],MATCH(Table2[[#This Row],[Treatment]],Table1[Treatment Type],0))</f>
        <v>Z01.2</v>
      </c>
      <c r="K74" t="s">
        <v>28</v>
      </c>
      <c r="L74" t="s">
        <v>28</v>
      </c>
      <c r="M74" t="s">
        <v>29</v>
      </c>
      <c r="N74">
        <f>Table2[[#This Row],[Total Paid]]+Table2[[#This Row],[Due]]</f>
        <v>200</v>
      </c>
      <c r="O74">
        <v>0</v>
      </c>
      <c r="P74">
        <v>0</v>
      </c>
      <c r="Q74">
        <v>200</v>
      </c>
      <c r="R74">
        <v>0</v>
      </c>
      <c r="S74">
        <v>0</v>
      </c>
      <c r="T74">
        <v>200</v>
      </c>
      <c r="U74">
        <v>0</v>
      </c>
      <c r="V74">
        <v>200</v>
      </c>
      <c r="W74" t="s">
        <v>30</v>
      </c>
      <c r="X74" s="6" t="s">
        <v>162</v>
      </c>
    </row>
    <row r="75" spans="1:24" hidden="1" x14ac:dyDescent="0.25">
      <c r="A75" t="s">
        <v>203</v>
      </c>
      <c r="B75" t="s">
        <v>204</v>
      </c>
      <c r="C75" t="s">
        <v>34</v>
      </c>
      <c r="D75">
        <v>59</v>
      </c>
      <c r="E75" t="s">
        <v>205</v>
      </c>
      <c r="F75" t="s">
        <v>35</v>
      </c>
      <c r="G75" t="s">
        <v>26</v>
      </c>
      <c r="H75" t="str">
        <f>INDEX(Table1[Diagnosis],MATCH(I75,'codeand diagnosis'!$A$2:$A$11,0))</f>
        <v>Cosmetic procedure</v>
      </c>
      <c r="I75" t="s">
        <v>55</v>
      </c>
      <c r="J75" t="str">
        <f>INDEX(Table1[ICD-10 Code],MATCH(Table2[[#This Row],[Treatment]],Table1[Treatment Type],0))</f>
        <v>Z41.1</v>
      </c>
      <c r="K75" t="s">
        <v>28</v>
      </c>
      <c r="L75" t="s">
        <v>38</v>
      </c>
      <c r="M75" t="s">
        <v>61</v>
      </c>
      <c r="N75">
        <f>Table2[[#This Row],[Total Paid]]+Table2[[#This Row],[Due]]</f>
        <v>1781</v>
      </c>
      <c r="O75">
        <v>1781</v>
      </c>
      <c r="P75">
        <v>0</v>
      </c>
      <c r="Q75">
        <v>0</v>
      </c>
      <c r="R75">
        <v>0</v>
      </c>
      <c r="S75">
        <v>0</v>
      </c>
      <c r="T75">
        <v>1781</v>
      </c>
      <c r="U75">
        <v>0</v>
      </c>
      <c r="V75">
        <v>1781</v>
      </c>
      <c r="W75" t="s">
        <v>51</v>
      </c>
      <c r="X75" s="6" t="s">
        <v>162</v>
      </c>
    </row>
    <row r="76" spans="1:24" hidden="1" x14ac:dyDescent="0.25">
      <c r="A76" t="s">
        <v>206</v>
      </c>
      <c r="B76" t="s">
        <v>207</v>
      </c>
      <c r="C76" t="s">
        <v>34</v>
      </c>
      <c r="D76">
        <v>43</v>
      </c>
      <c r="E76" t="s">
        <v>208</v>
      </c>
      <c r="F76" t="s">
        <v>88</v>
      </c>
      <c r="G76" t="s">
        <v>26</v>
      </c>
      <c r="H76" t="str">
        <f>INDEX(Table1[Diagnosis],MATCH(I76,'codeand diagnosis'!$A$2:$A$11,0))</f>
        <v>Pulpitis</v>
      </c>
      <c r="I76" t="s">
        <v>111</v>
      </c>
      <c r="J76" t="str">
        <f>INDEX(Table1[ICD-10 Code],MATCH(Table2[[#This Row],[Treatment]],Table1[Treatment Type],0))</f>
        <v>K04.0</v>
      </c>
      <c r="K76" t="s">
        <v>28</v>
      </c>
      <c r="L76" t="s">
        <v>38</v>
      </c>
      <c r="M76" t="s">
        <v>29</v>
      </c>
      <c r="N76">
        <f>Table2[[#This Row],[Total Paid]]+Table2[[#This Row],[Due]]</f>
        <v>2960</v>
      </c>
      <c r="O76">
        <v>2960</v>
      </c>
      <c r="P76">
        <v>0</v>
      </c>
      <c r="Q76">
        <v>0</v>
      </c>
      <c r="R76">
        <v>0</v>
      </c>
      <c r="S76">
        <v>0</v>
      </c>
      <c r="T76">
        <v>2960</v>
      </c>
      <c r="U76">
        <v>0</v>
      </c>
      <c r="V76">
        <v>2960</v>
      </c>
      <c r="W76" t="s">
        <v>47</v>
      </c>
      <c r="X76" s="6" t="s">
        <v>162</v>
      </c>
    </row>
    <row r="77" spans="1:24" hidden="1" x14ac:dyDescent="0.25">
      <c r="A77" t="s">
        <v>209</v>
      </c>
      <c r="B77" t="s">
        <v>128</v>
      </c>
      <c r="C77" t="s">
        <v>24</v>
      </c>
      <c r="D77">
        <v>9</v>
      </c>
      <c r="E77" t="s">
        <v>208</v>
      </c>
      <c r="F77" t="s">
        <v>50</v>
      </c>
      <c r="G77" t="s">
        <v>26</v>
      </c>
      <c r="H77" t="str">
        <f>INDEX(Table1[Diagnosis],MATCH(I77,'codeand diagnosis'!$A$2:$A$11,0))</f>
        <v>Cosmetic procedure</v>
      </c>
      <c r="I77" t="s">
        <v>55</v>
      </c>
      <c r="J77" t="str">
        <f>INDEX(Table1[ICD-10 Code],MATCH(Table2[[#This Row],[Treatment]],Table1[Treatment Type],0))</f>
        <v>Z41.1</v>
      </c>
      <c r="K77" t="s">
        <v>28</v>
      </c>
      <c r="L77" t="s">
        <v>28</v>
      </c>
      <c r="M77" t="s">
        <v>61</v>
      </c>
      <c r="N77">
        <f>Table2[[#This Row],[Total Paid]]+Table2[[#This Row],[Due]]</f>
        <v>1535</v>
      </c>
      <c r="O77">
        <v>1535</v>
      </c>
      <c r="P77">
        <v>0</v>
      </c>
      <c r="Q77">
        <v>0</v>
      </c>
      <c r="R77">
        <v>0</v>
      </c>
      <c r="S77">
        <v>0</v>
      </c>
      <c r="T77">
        <v>1535</v>
      </c>
      <c r="U77">
        <v>0</v>
      </c>
      <c r="V77">
        <v>1535</v>
      </c>
      <c r="W77" t="s">
        <v>51</v>
      </c>
      <c r="X77" s="6" t="s">
        <v>162</v>
      </c>
    </row>
    <row r="78" spans="1:24" hidden="1" x14ac:dyDescent="0.25">
      <c r="A78" t="s">
        <v>210</v>
      </c>
      <c r="B78" t="s">
        <v>211</v>
      </c>
      <c r="C78" t="s">
        <v>34</v>
      </c>
      <c r="D78">
        <v>59</v>
      </c>
      <c r="E78" t="s">
        <v>212</v>
      </c>
      <c r="F78" t="s">
        <v>35</v>
      </c>
      <c r="G78" t="s">
        <v>26</v>
      </c>
      <c r="H78" t="str">
        <f>INDEX(Table1[Diagnosis],MATCH(I78,'codeand diagnosis'!$A$2:$A$11,0))</f>
        <v>Dental examination</v>
      </c>
      <c r="I78" t="s">
        <v>45</v>
      </c>
      <c r="J78" t="str">
        <f>INDEX(Table1[ICD-10 Code],MATCH(Table2[[#This Row],[Treatment]],Table1[Treatment Type],0))</f>
        <v>Z01.2</v>
      </c>
      <c r="K78" t="s">
        <v>28</v>
      </c>
      <c r="L78" t="s">
        <v>28</v>
      </c>
      <c r="M78" t="s">
        <v>29</v>
      </c>
      <c r="N78">
        <f>Table2[[#This Row],[Total Paid]]+Table2[[#This Row],[Due]]</f>
        <v>200</v>
      </c>
      <c r="O78">
        <v>0</v>
      </c>
      <c r="P78">
        <v>0</v>
      </c>
      <c r="Q78">
        <v>200</v>
      </c>
      <c r="R78">
        <v>0</v>
      </c>
      <c r="S78">
        <v>0</v>
      </c>
      <c r="T78">
        <v>200</v>
      </c>
      <c r="U78">
        <v>0</v>
      </c>
      <c r="V78">
        <v>200</v>
      </c>
      <c r="W78" t="s">
        <v>51</v>
      </c>
      <c r="X78" s="6" t="s">
        <v>162</v>
      </c>
    </row>
    <row r="79" spans="1:24" hidden="1" x14ac:dyDescent="0.25">
      <c r="A79" t="s">
        <v>213</v>
      </c>
      <c r="B79" t="s">
        <v>188</v>
      </c>
      <c r="C79" t="s">
        <v>34</v>
      </c>
      <c r="D79">
        <v>60</v>
      </c>
      <c r="E79" t="s">
        <v>214</v>
      </c>
      <c r="F79" t="s">
        <v>50</v>
      </c>
      <c r="G79" t="s">
        <v>26</v>
      </c>
      <c r="H79" t="str">
        <f>INDEX(Table1[Diagnosis],MATCH(I79,'codeand diagnosis'!$A$2:$A$11,0))</f>
        <v>Dental examination</v>
      </c>
      <c r="I79" t="s">
        <v>45</v>
      </c>
      <c r="J79" t="str">
        <f>INDEX(Table1[ICD-10 Code],MATCH(Table2[[#This Row],[Treatment]],Table1[Treatment Type],0))</f>
        <v>Z01.2</v>
      </c>
      <c r="K79" t="s">
        <v>28</v>
      </c>
      <c r="L79" t="s">
        <v>28</v>
      </c>
      <c r="M79" t="s">
        <v>29</v>
      </c>
      <c r="N79">
        <f>Table2[[#This Row],[Total Paid]]+Table2[[#This Row],[Due]]</f>
        <v>200</v>
      </c>
      <c r="O79">
        <v>0</v>
      </c>
      <c r="P79">
        <v>0</v>
      </c>
      <c r="Q79">
        <v>200</v>
      </c>
      <c r="R79">
        <v>0</v>
      </c>
      <c r="S79">
        <v>0</v>
      </c>
      <c r="T79">
        <v>200</v>
      </c>
      <c r="U79">
        <v>0</v>
      </c>
      <c r="V79">
        <v>200</v>
      </c>
      <c r="W79" t="s">
        <v>51</v>
      </c>
      <c r="X79" s="6" t="s">
        <v>162</v>
      </c>
    </row>
    <row r="80" spans="1:24" hidden="1" x14ac:dyDescent="0.25">
      <c r="A80" t="s">
        <v>215</v>
      </c>
      <c r="B80" t="s">
        <v>184</v>
      </c>
      <c r="C80" t="s">
        <v>34</v>
      </c>
      <c r="D80">
        <v>40</v>
      </c>
      <c r="E80" t="s">
        <v>214</v>
      </c>
      <c r="F80" t="s">
        <v>35</v>
      </c>
      <c r="G80" t="s">
        <v>26</v>
      </c>
      <c r="H80" t="str">
        <f>INDEX(Table1[Diagnosis],MATCH(I80,'codeand diagnosis'!$A$2:$A$11,0))</f>
        <v>Dental examination with radiology</v>
      </c>
      <c r="I80" t="s">
        <v>37</v>
      </c>
      <c r="J80" t="str">
        <f>INDEX(Table1[ICD-10 Code],MATCH(Table2[[#This Row],[Treatment]],Table1[Treatment Type],0))</f>
        <v>Z01.2</v>
      </c>
      <c r="K80" t="s">
        <v>28</v>
      </c>
      <c r="L80" t="s">
        <v>38</v>
      </c>
      <c r="M80" t="s">
        <v>29</v>
      </c>
      <c r="N80">
        <f>Table2[[#This Row],[Total Paid]]+Table2[[#This Row],[Due]]</f>
        <v>350</v>
      </c>
      <c r="O80">
        <v>0</v>
      </c>
      <c r="P80">
        <v>150</v>
      </c>
      <c r="Q80">
        <v>200</v>
      </c>
      <c r="R80">
        <v>0</v>
      </c>
      <c r="S80">
        <v>0</v>
      </c>
      <c r="T80">
        <v>350</v>
      </c>
      <c r="U80">
        <v>0</v>
      </c>
      <c r="V80">
        <v>350</v>
      </c>
      <c r="W80" t="s">
        <v>47</v>
      </c>
      <c r="X80" s="6" t="s">
        <v>162</v>
      </c>
    </row>
    <row r="81" spans="1:24" hidden="1" x14ac:dyDescent="0.25">
      <c r="A81" t="s">
        <v>216</v>
      </c>
      <c r="B81" t="s">
        <v>65</v>
      </c>
      <c r="C81" t="s">
        <v>24</v>
      </c>
      <c r="D81">
        <v>27</v>
      </c>
      <c r="E81" t="s">
        <v>217</v>
      </c>
      <c r="F81" t="s">
        <v>50</v>
      </c>
      <c r="G81" t="s">
        <v>26</v>
      </c>
      <c r="H81" t="str">
        <f>INDEX(Table1[Diagnosis],MATCH(I81,'codeand diagnosis'!$A$2:$A$11,0))</f>
        <v>Pulpitis</v>
      </c>
      <c r="I81" t="s">
        <v>111</v>
      </c>
      <c r="J81" t="str">
        <f>INDEX(Table1[ICD-10 Code],MATCH(Table2[[#This Row],[Treatment]],Table1[Treatment Type],0))</f>
        <v>K04.0</v>
      </c>
      <c r="K81" t="s">
        <v>28</v>
      </c>
      <c r="L81" t="s">
        <v>38</v>
      </c>
      <c r="M81" t="s">
        <v>29</v>
      </c>
      <c r="N81">
        <f>Table2[[#This Row],[Total Paid]]+Table2[[#This Row],[Due]]</f>
        <v>2998</v>
      </c>
      <c r="O81">
        <v>2998</v>
      </c>
      <c r="P81">
        <v>0</v>
      </c>
      <c r="Q81">
        <v>0</v>
      </c>
      <c r="R81">
        <v>0</v>
      </c>
      <c r="S81">
        <v>0</v>
      </c>
      <c r="T81">
        <v>2998</v>
      </c>
      <c r="U81">
        <v>0</v>
      </c>
      <c r="V81">
        <v>2998</v>
      </c>
      <c r="W81" t="s">
        <v>51</v>
      </c>
      <c r="X81" s="6" t="s">
        <v>162</v>
      </c>
    </row>
    <row r="82" spans="1:24" hidden="1" x14ac:dyDescent="0.25">
      <c r="A82" t="s">
        <v>218</v>
      </c>
      <c r="B82" t="s">
        <v>171</v>
      </c>
      <c r="C82" t="s">
        <v>24</v>
      </c>
      <c r="D82">
        <v>74</v>
      </c>
      <c r="E82" t="s">
        <v>217</v>
      </c>
      <c r="F82" t="s">
        <v>50</v>
      </c>
      <c r="G82" t="s">
        <v>36</v>
      </c>
      <c r="H82" t="str">
        <f>INDEX(Table1[Diagnosis],MATCH(I82,'codeand diagnosis'!$A$2:$A$11,0))</f>
        <v>Dental caries</v>
      </c>
      <c r="I82" t="s">
        <v>41</v>
      </c>
      <c r="J82" t="str">
        <f>INDEX(Table1[ICD-10 Code],MATCH(Table2[[#This Row],[Treatment]],Table1[Treatment Type],0))</f>
        <v>K02.9</v>
      </c>
      <c r="K82" t="s">
        <v>28</v>
      </c>
      <c r="L82" t="s">
        <v>38</v>
      </c>
      <c r="M82" t="s">
        <v>29</v>
      </c>
      <c r="N82">
        <f>Table2[[#This Row],[Total Paid]]+Table2[[#This Row],[Due]]</f>
        <v>814</v>
      </c>
      <c r="O82">
        <v>814</v>
      </c>
      <c r="P82">
        <v>0</v>
      </c>
      <c r="Q82">
        <v>0</v>
      </c>
      <c r="R82">
        <v>0</v>
      </c>
      <c r="S82">
        <v>0</v>
      </c>
      <c r="T82">
        <v>814</v>
      </c>
      <c r="U82">
        <v>0</v>
      </c>
      <c r="V82">
        <v>814</v>
      </c>
      <c r="W82" t="s">
        <v>51</v>
      </c>
      <c r="X82" s="6" t="s">
        <v>162</v>
      </c>
    </row>
    <row r="83" spans="1:24" hidden="1" x14ac:dyDescent="0.25">
      <c r="A83" t="s">
        <v>219</v>
      </c>
      <c r="B83" t="s">
        <v>180</v>
      </c>
      <c r="C83" t="s">
        <v>24</v>
      </c>
      <c r="D83">
        <v>14</v>
      </c>
      <c r="E83" t="s">
        <v>220</v>
      </c>
      <c r="F83" t="s">
        <v>88</v>
      </c>
      <c r="G83" t="s">
        <v>26</v>
      </c>
      <c r="H83" t="str">
        <f>INDEX(Table1[Diagnosis],MATCH(I83,'codeand diagnosis'!$A$2:$A$11,0))</f>
        <v>Dental examination</v>
      </c>
      <c r="I83" t="s">
        <v>45</v>
      </c>
      <c r="J83" t="str">
        <f>INDEX(Table1[ICD-10 Code],MATCH(Table2[[#This Row],[Treatment]],Table1[Treatment Type],0))</f>
        <v>Z01.2</v>
      </c>
      <c r="K83" t="s">
        <v>28</v>
      </c>
      <c r="L83" t="s">
        <v>28</v>
      </c>
      <c r="M83" t="s">
        <v>61</v>
      </c>
      <c r="N83">
        <f>Table2[[#This Row],[Total Paid]]+Table2[[#This Row],[Due]]</f>
        <v>150</v>
      </c>
      <c r="O83">
        <v>0</v>
      </c>
      <c r="P83">
        <v>0</v>
      </c>
      <c r="Q83">
        <v>200</v>
      </c>
      <c r="R83">
        <v>0</v>
      </c>
      <c r="S83">
        <v>50</v>
      </c>
      <c r="T83">
        <v>150</v>
      </c>
      <c r="U83">
        <v>0</v>
      </c>
      <c r="V83">
        <v>150</v>
      </c>
      <c r="W83" t="s">
        <v>51</v>
      </c>
      <c r="X83" s="6" t="s">
        <v>162</v>
      </c>
    </row>
    <row r="84" spans="1:24" hidden="1" x14ac:dyDescent="0.25">
      <c r="A84" t="s">
        <v>221</v>
      </c>
      <c r="B84" t="s">
        <v>222</v>
      </c>
      <c r="C84" t="s">
        <v>24</v>
      </c>
      <c r="D84">
        <v>70</v>
      </c>
      <c r="E84" t="s">
        <v>220</v>
      </c>
      <c r="F84" t="s">
        <v>132</v>
      </c>
      <c r="G84" t="s">
        <v>26</v>
      </c>
      <c r="H84" t="str">
        <f>INDEX(Table1[Diagnosis],MATCH(I84,'codeand diagnosis'!$A$2:$A$11,0))</f>
        <v>Dental examination with radiology</v>
      </c>
      <c r="I84" t="s">
        <v>37</v>
      </c>
      <c r="J84" t="str">
        <f>INDEX(Table1[ICD-10 Code],MATCH(Table2[[#This Row],[Treatment]],Table1[Treatment Type],0))</f>
        <v>Z01.2</v>
      </c>
      <c r="K84" t="s">
        <v>28</v>
      </c>
      <c r="L84" t="s">
        <v>38</v>
      </c>
      <c r="M84" t="s">
        <v>29</v>
      </c>
      <c r="N84">
        <f>Table2[[#This Row],[Total Paid]]+Table2[[#This Row],[Due]]</f>
        <v>210</v>
      </c>
      <c r="O84">
        <v>0</v>
      </c>
      <c r="P84">
        <v>150</v>
      </c>
      <c r="Q84">
        <v>200</v>
      </c>
      <c r="R84">
        <v>0</v>
      </c>
      <c r="S84">
        <v>140</v>
      </c>
      <c r="T84">
        <v>210</v>
      </c>
      <c r="U84">
        <v>0</v>
      </c>
      <c r="V84">
        <v>210</v>
      </c>
      <c r="W84" t="s">
        <v>51</v>
      </c>
      <c r="X84" s="6" t="s">
        <v>162</v>
      </c>
    </row>
    <row r="85" spans="1:24" hidden="1" x14ac:dyDescent="0.25">
      <c r="A85" t="s">
        <v>223</v>
      </c>
      <c r="B85" t="s">
        <v>224</v>
      </c>
      <c r="C85" t="s">
        <v>34</v>
      </c>
      <c r="D85">
        <v>27</v>
      </c>
      <c r="E85" t="s">
        <v>225</v>
      </c>
      <c r="F85" t="s">
        <v>50</v>
      </c>
      <c r="G85" t="s">
        <v>26</v>
      </c>
      <c r="H85" t="str">
        <f>INDEX(Table1[Diagnosis],MATCH(I85,'codeand diagnosis'!$A$2:$A$11,0))</f>
        <v>Dental examination</v>
      </c>
      <c r="I85" t="s">
        <v>45</v>
      </c>
      <c r="J85" t="str">
        <f>INDEX(Table1[ICD-10 Code],MATCH(Table2[[#This Row],[Treatment]],Table1[Treatment Type],0))</f>
        <v>Z01.2</v>
      </c>
      <c r="K85" t="s">
        <v>28</v>
      </c>
      <c r="L85" t="s">
        <v>28</v>
      </c>
      <c r="M85" t="s">
        <v>29</v>
      </c>
      <c r="N85">
        <f>Table2[[#This Row],[Total Paid]]+Table2[[#This Row],[Due]]</f>
        <v>200</v>
      </c>
      <c r="O85">
        <v>0</v>
      </c>
      <c r="P85">
        <v>0</v>
      </c>
      <c r="Q85">
        <v>200</v>
      </c>
      <c r="R85">
        <v>0</v>
      </c>
      <c r="S85">
        <v>0</v>
      </c>
      <c r="T85">
        <v>200</v>
      </c>
      <c r="U85">
        <v>0</v>
      </c>
      <c r="V85">
        <v>200</v>
      </c>
      <c r="W85" t="s">
        <v>30</v>
      </c>
      <c r="X85" s="6" t="s">
        <v>162</v>
      </c>
    </row>
    <row r="86" spans="1:24" hidden="1" x14ac:dyDescent="0.25">
      <c r="A86" t="s">
        <v>226</v>
      </c>
      <c r="B86" t="s">
        <v>59</v>
      </c>
      <c r="C86" t="s">
        <v>34</v>
      </c>
      <c r="D86">
        <v>47</v>
      </c>
      <c r="E86" t="s">
        <v>227</v>
      </c>
      <c r="F86" t="s">
        <v>35</v>
      </c>
      <c r="G86" t="s">
        <v>36</v>
      </c>
      <c r="H86" t="str">
        <f>INDEX(Table1[Diagnosis],MATCH(I86,'codeand diagnosis'!$A$2:$A$11,0))</f>
        <v>Gingivitis</v>
      </c>
      <c r="I86" t="s">
        <v>27</v>
      </c>
      <c r="J86" t="str">
        <f>INDEX(Table1[ICD-10 Code],MATCH(Table2[[#This Row],[Treatment]],Table1[Treatment Type],0))</f>
        <v>K05.10</v>
      </c>
      <c r="K86" t="s">
        <v>28</v>
      </c>
      <c r="L86" t="s">
        <v>38</v>
      </c>
      <c r="M86" t="s">
        <v>61</v>
      </c>
      <c r="N86">
        <f>Table2[[#This Row],[Total Paid]]+Table2[[#This Row],[Due]]</f>
        <v>641</v>
      </c>
      <c r="O86">
        <v>641</v>
      </c>
      <c r="P86">
        <v>0</v>
      </c>
      <c r="Q86">
        <v>0</v>
      </c>
      <c r="R86">
        <v>0</v>
      </c>
      <c r="S86">
        <v>0</v>
      </c>
      <c r="T86">
        <v>641</v>
      </c>
      <c r="U86">
        <v>0</v>
      </c>
      <c r="V86">
        <v>641</v>
      </c>
      <c r="W86" t="s">
        <v>42</v>
      </c>
      <c r="X86" s="6" t="s">
        <v>162</v>
      </c>
    </row>
    <row r="87" spans="1:24" hidden="1" x14ac:dyDescent="0.25">
      <c r="A87" t="s">
        <v>228</v>
      </c>
      <c r="B87" t="s">
        <v>80</v>
      </c>
      <c r="C87" t="s">
        <v>34</v>
      </c>
      <c r="D87">
        <v>32</v>
      </c>
      <c r="E87" t="s">
        <v>229</v>
      </c>
      <c r="F87" t="s">
        <v>50</v>
      </c>
      <c r="G87" t="s">
        <v>26</v>
      </c>
      <c r="H87" t="str">
        <f>INDEX(Table1[Diagnosis],MATCH(I87,'codeand diagnosis'!$A$2:$A$11,0))</f>
        <v>Gingivitis</v>
      </c>
      <c r="I87" t="s">
        <v>27</v>
      </c>
      <c r="J87" t="str">
        <f>INDEX(Table1[ICD-10 Code],MATCH(Table2[[#This Row],[Treatment]],Table1[Treatment Type],0))</f>
        <v>K05.10</v>
      </c>
      <c r="K87" t="s">
        <v>28</v>
      </c>
      <c r="L87" t="s">
        <v>28</v>
      </c>
      <c r="M87" t="s">
        <v>46</v>
      </c>
      <c r="N87">
        <f>Table2[[#This Row],[Total Paid]]+Table2[[#This Row],[Due]]</f>
        <v>526</v>
      </c>
      <c r="O87">
        <v>526</v>
      </c>
      <c r="P87">
        <v>0</v>
      </c>
      <c r="Q87">
        <v>0</v>
      </c>
      <c r="R87">
        <v>0</v>
      </c>
      <c r="S87">
        <v>0</v>
      </c>
      <c r="T87">
        <v>526</v>
      </c>
      <c r="U87">
        <v>0</v>
      </c>
      <c r="V87">
        <v>526</v>
      </c>
      <c r="W87" t="s">
        <v>51</v>
      </c>
      <c r="X87" s="6" t="s">
        <v>162</v>
      </c>
    </row>
    <row r="88" spans="1:24" hidden="1" x14ac:dyDescent="0.25">
      <c r="A88" t="s">
        <v>230</v>
      </c>
      <c r="B88" t="s">
        <v>180</v>
      </c>
      <c r="C88" t="s">
        <v>24</v>
      </c>
      <c r="D88">
        <v>8</v>
      </c>
      <c r="E88" t="s">
        <v>229</v>
      </c>
      <c r="F88" t="s">
        <v>88</v>
      </c>
      <c r="G88" t="s">
        <v>26</v>
      </c>
      <c r="H88" t="str">
        <f>INDEX(Table1[Diagnosis],MATCH(I88,'codeand diagnosis'!$A$2:$A$11,0))</f>
        <v>Dental examination</v>
      </c>
      <c r="I88" t="s">
        <v>45</v>
      </c>
      <c r="J88" t="str">
        <f>INDEX(Table1[ICD-10 Code],MATCH(Table2[[#This Row],[Treatment]],Table1[Treatment Type],0))</f>
        <v>Z01.2</v>
      </c>
      <c r="K88" t="s">
        <v>28</v>
      </c>
      <c r="L88" t="s">
        <v>28</v>
      </c>
      <c r="M88" t="s">
        <v>29</v>
      </c>
      <c r="N88">
        <f>Table2[[#This Row],[Total Paid]]+Table2[[#This Row],[Due]]</f>
        <v>200</v>
      </c>
      <c r="O88">
        <v>0</v>
      </c>
      <c r="P88">
        <v>0</v>
      </c>
      <c r="Q88">
        <v>200</v>
      </c>
      <c r="R88">
        <v>0</v>
      </c>
      <c r="S88">
        <v>0</v>
      </c>
      <c r="T88">
        <v>200</v>
      </c>
      <c r="U88">
        <v>0</v>
      </c>
      <c r="V88">
        <v>200</v>
      </c>
      <c r="W88" t="s">
        <v>42</v>
      </c>
      <c r="X88" s="6" t="s">
        <v>162</v>
      </c>
    </row>
    <row r="89" spans="1:24" hidden="1" x14ac:dyDescent="0.25">
      <c r="A89" t="s">
        <v>231</v>
      </c>
      <c r="B89" t="s">
        <v>232</v>
      </c>
      <c r="C89" t="s">
        <v>24</v>
      </c>
      <c r="D89">
        <v>10</v>
      </c>
      <c r="E89" s="1">
        <v>44929</v>
      </c>
      <c r="F89" t="s">
        <v>35</v>
      </c>
      <c r="G89" t="s">
        <v>26</v>
      </c>
      <c r="H89" t="str">
        <f>INDEX(Table1[Diagnosis],MATCH(I89,'codeand diagnosis'!$A$2:$A$11,0))</f>
        <v>Cosmetic procedure</v>
      </c>
      <c r="I89" t="s">
        <v>55</v>
      </c>
      <c r="J89" t="str">
        <f>INDEX(Table1[ICD-10 Code],MATCH(Table2[[#This Row],[Treatment]],Table1[Treatment Type],0))</f>
        <v>Z41.1</v>
      </c>
      <c r="K89" t="s">
        <v>28</v>
      </c>
      <c r="L89" t="s">
        <v>28</v>
      </c>
      <c r="M89" t="s">
        <v>29</v>
      </c>
      <c r="N89">
        <f>Table2[[#This Row],[Total Paid]]+Table2[[#This Row],[Due]]</f>
        <v>1067.4000000000001</v>
      </c>
      <c r="O89">
        <v>1779</v>
      </c>
      <c r="P89">
        <v>0</v>
      </c>
      <c r="Q89">
        <v>0</v>
      </c>
      <c r="R89">
        <v>0</v>
      </c>
      <c r="S89">
        <v>711.6</v>
      </c>
      <c r="T89">
        <v>1067.4000000000001</v>
      </c>
      <c r="U89">
        <v>0</v>
      </c>
      <c r="V89">
        <v>1067.4000000000001</v>
      </c>
      <c r="W89" t="s">
        <v>47</v>
      </c>
      <c r="X89" s="6" t="s">
        <v>233</v>
      </c>
    </row>
    <row r="90" spans="1:24" hidden="1" x14ac:dyDescent="0.25">
      <c r="A90" t="s">
        <v>234</v>
      </c>
      <c r="B90" t="s">
        <v>70</v>
      </c>
      <c r="C90" t="s">
        <v>24</v>
      </c>
      <c r="D90">
        <v>66</v>
      </c>
      <c r="E90" s="1">
        <v>44929</v>
      </c>
      <c r="F90" t="s">
        <v>35</v>
      </c>
      <c r="G90" t="s">
        <v>26</v>
      </c>
      <c r="H90" t="str">
        <f>INDEX(Table1[Diagnosis],MATCH(I90,'codeand diagnosis'!$A$2:$A$11,0))</f>
        <v>Pulpitis</v>
      </c>
      <c r="I90" t="s">
        <v>111</v>
      </c>
      <c r="J90" t="str">
        <f>INDEX(Table1[ICD-10 Code],MATCH(Table2[[#This Row],[Treatment]],Table1[Treatment Type],0))</f>
        <v>K04.0</v>
      </c>
      <c r="K90" t="s">
        <v>28</v>
      </c>
      <c r="L90" t="s">
        <v>38</v>
      </c>
      <c r="M90" t="s">
        <v>29</v>
      </c>
      <c r="N90">
        <f>Table2[[#This Row],[Total Paid]]+Table2[[#This Row],[Due]]</f>
        <v>2433</v>
      </c>
      <c r="O90">
        <v>3433</v>
      </c>
      <c r="P90">
        <v>0</v>
      </c>
      <c r="Q90">
        <v>0</v>
      </c>
      <c r="R90">
        <v>0</v>
      </c>
      <c r="S90">
        <v>1000</v>
      </c>
      <c r="T90">
        <v>2433</v>
      </c>
      <c r="U90">
        <v>0</v>
      </c>
      <c r="V90">
        <v>2433</v>
      </c>
      <c r="W90" t="s">
        <v>51</v>
      </c>
      <c r="X90" s="6" t="s">
        <v>233</v>
      </c>
    </row>
    <row r="91" spans="1:24" hidden="1" x14ac:dyDescent="0.25">
      <c r="A91" t="s">
        <v>235</v>
      </c>
      <c r="B91" t="s">
        <v>77</v>
      </c>
      <c r="C91" t="s">
        <v>34</v>
      </c>
      <c r="D91">
        <v>78</v>
      </c>
      <c r="E91" s="1">
        <v>44960</v>
      </c>
      <c r="F91" t="s">
        <v>88</v>
      </c>
      <c r="G91" t="s">
        <v>26</v>
      </c>
      <c r="H91" t="str">
        <f>INDEX(Table1[Diagnosis],MATCH(I91,'codeand diagnosis'!$A$2:$A$11,0))</f>
        <v>Dental examination</v>
      </c>
      <c r="I91" t="s">
        <v>45</v>
      </c>
      <c r="J91" t="str">
        <f>INDEX(Table1[ICD-10 Code],MATCH(Table2[[#This Row],[Treatment]],Table1[Treatment Type],0))</f>
        <v>Z01.2</v>
      </c>
      <c r="K91" t="s">
        <v>28</v>
      </c>
      <c r="L91" t="s">
        <v>28</v>
      </c>
      <c r="M91" t="s">
        <v>29</v>
      </c>
      <c r="N91">
        <f>Table2[[#This Row],[Total Paid]]+Table2[[#This Row],[Due]]</f>
        <v>200</v>
      </c>
      <c r="O91">
        <v>0</v>
      </c>
      <c r="P91">
        <v>0</v>
      </c>
      <c r="Q91">
        <v>200</v>
      </c>
      <c r="R91">
        <v>0</v>
      </c>
      <c r="S91">
        <v>0</v>
      </c>
      <c r="T91">
        <v>200</v>
      </c>
      <c r="U91">
        <v>0</v>
      </c>
      <c r="V91">
        <v>200</v>
      </c>
      <c r="W91" t="s">
        <v>51</v>
      </c>
      <c r="X91" s="6" t="s">
        <v>233</v>
      </c>
    </row>
    <row r="92" spans="1:24" hidden="1" x14ac:dyDescent="0.25">
      <c r="A92" t="s">
        <v>236</v>
      </c>
      <c r="B92" t="s">
        <v>237</v>
      </c>
      <c r="C92" t="s">
        <v>34</v>
      </c>
      <c r="D92">
        <v>47</v>
      </c>
      <c r="E92" s="1">
        <v>45019</v>
      </c>
      <c r="F92" t="s">
        <v>35</v>
      </c>
      <c r="G92" t="s">
        <v>26</v>
      </c>
      <c r="H92" t="str">
        <f>INDEX(Table1[Diagnosis],MATCH(I92,'codeand diagnosis'!$A$2:$A$11,0))</f>
        <v>Dental examination</v>
      </c>
      <c r="I92" t="s">
        <v>45</v>
      </c>
      <c r="J92" t="str">
        <f>INDEX(Table1[ICD-10 Code],MATCH(Table2[[#This Row],[Treatment]],Table1[Treatment Type],0))</f>
        <v>Z01.2</v>
      </c>
      <c r="K92" t="s">
        <v>28</v>
      </c>
      <c r="L92" t="s">
        <v>28</v>
      </c>
      <c r="M92" t="s">
        <v>29</v>
      </c>
      <c r="N92">
        <f>Table2[[#This Row],[Total Paid]]+Table2[[#This Row],[Due]]</f>
        <v>200</v>
      </c>
      <c r="O92">
        <v>0</v>
      </c>
      <c r="P92">
        <v>0</v>
      </c>
      <c r="Q92">
        <v>200</v>
      </c>
      <c r="R92">
        <v>0</v>
      </c>
      <c r="S92">
        <v>0</v>
      </c>
      <c r="T92">
        <v>200</v>
      </c>
      <c r="U92">
        <v>0</v>
      </c>
      <c r="V92">
        <v>200</v>
      </c>
      <c r="W92" t="s">
        <v>47</v>
      </c>
      <c r="X92" s="6" t="s">
        <v>233</v>
      </c>
    </row>
    <row r="93" spans="1:24" hidden="1" x14ac:dyDescent="0.25">
      <c r="A93" t="s">
        <v>238</v>
      </c>
      <c r="B93" t="s">
        <v>148</v>
      </c>
      <c r="C93" t="s">
        <v>24</v>
      </c>
      <c r="D93">
        <v>8</v>
      </c>
      <c r="E93" s="1">
        <v>45080</v>
      </c>
      <c r="F93" t="s">
        <v>50</v>
      </c>
      <c r="G93" t="s">
        <v>26</v>
      </c>
      <c r="H93" t="str">
        <f>INDEX(Table1[Diagnosis],MATCH(I93,'codeand diagnosis'!$A$2:$A$11,0))</f>
        <v>Dental examination</v>
      </c>
      <c r="I93" t="s">
        <v>45</v>
      </c>
      <c r="J93" t="str">
        <f>INDEX(Table1[ICD-10 Code],MATCH(Table2[[#This Row],[Treatment]],Table1[Treatment Type],0))</f>
        <v>Z01.2</v>
      </c>
      <c r="K93" t="s">
        <v>28</v>
      </c>
      <c r="L93" t="s">
        <v>28</v>
      </c>
      <c r="M93" t="s">
        <v>29</v>
      </c>
      <c r="N93">
        <f>Table2[[#This Row],[Total Paid]]+Table2[[#This Row],[Due]]</f>
        <v>200</v>
      </c>
      <c r="O93">
        <v>0</v>
      </c>
      <c r="P93">
        <v>0</v>
      </c>
      <c r="Q93">
        <v>200</v>
      </c>
      <c r="R93">
        <v>0</v>
      </c>
      <c r="S93">
        <v>0</v>
      </c>
      <c r="T93">
        <v>200</v>
      </c>
      <c r="U93">
        <v>0</v>
      </c>
      <c r="V93">
        <v>200</v>
      </c>
      <c r="W93" t="s">
        <v>51</v>
      </c>
      <c r="X93" s="6" t="s">
        <v>233</v>
      </c>
    </row>
    <row r="94" spans="1:24" hidden="1" x14ac:dyDescent="0.25">
      <c r="A94" t="s">
        <v>239</v>
      </c>
      <c r="B94" t="s">
        <v>194</v>
      </c>
      <c r="C94" t="s">
        <v>34</v>
      </c>
      <c r="D94">
        <v>55</v>
      </c>
      <c r="E94" s="1">
        <v>45141</v>
      </c>
      <c r="F94" t="s">
        <v>50</v>
      </c>
      <c r="G94" t="s">
        <v>26</v>
      </c>
      <c r="H94" t="str">
        <f>INDEX(Table1[Diagnosis],MATCH(I94,'codeand diagnosis'!$A$2:$A$11,0))</f>
        <v>Dental examination</v>
      </c>
      <c r="I94" t="s">
        <v>45</v>
      </c>
      <c r="J94" t="str">
        <f>INDEX(Table1[ICD-10 Code],MATCH(Table2[[#This Row],[Treatment]],Table1[Treatment Type],0))</f>
        <v>Z01.2</v>
      </c>
      <c r="K94" t="s">
        <v>28</v>
      </c>
      <c r="L94" t="s">
        <v>28</v>
      </c>
      <c r="M94" t="s">
        <v>46</v>
      </c>
      <c r="N94">
        <f>Table2[[#This Row],[Total Paid]]+Table2[[#This Row],[Due]]</f>
        <v>120</v>
      </c>
      <c r="O94">
        <v>0</v>
      </c>
      <c r="P94">
        <v>0</v>
      </c>
      <c r="Q94">
        <v>200</v>
      </c>
      <c r="R94">
        <v>0</v>
      </c>
      <c r="S94">
        <v>80</v>
      </c>
      <c r="T94">
        <v>120</v>
      </c>
      <c r="U94">
        <v>0</v>
      </c>
      <c r="V94">
        <v>120</v>
      </c>
      <c r="W94" t="s">
        <v>51</v>
      </c>
      <c r="X94" s="6" t="s">
        <v>233</v>
      </c>
    </row>
    <row r="95" spans="1:24" hidden="1" x14ac:dyDescent="0.25">
      <c r="A95" t="s">
        <v>240</v>
      </c>
      <c r="B95" t="s">
        <v>182</v>
      </c>
      <c r="C95" t="s">
        <v>24</v>
      </c>
      <c r="D95">
        <v>80</v>
      </c>
      <c r="E95" s="1">
        <v>45172</v>
      </c>
      <c r="F95" t="s">
        <v>50</v>
      </c>
      <c r="G95" t="s">
        <v>26</v>
      </c>
      <c r="H95" t="str">
        <f>INDEX(Table1[Diagnosis],MATCH(I95,'codeand diagnosis'!$A$2:$A$11,0))</f>
        <v>Dental examination</v>
      </c>
      <c r="I95" t="s">
        <v>45</v>
      </c>
      <c r="J95" t="str">
        <f>INDEX(Table1[ICD-10 Code],MATCH(Table2[[#This Row],[Treatment]],Table1[Treatment Type],0))</f>
        <v>Z01.2</v>
      </c>
      <c r="K95" t="s">
        <v>28</v>
      </c>
      <c r="L95" t="s">
        <v>28</v>
      </c>
      <c r="M95" t="s">
        <v>46</v>
      </c>
      <c r="N95">
        <f>Table2[[#This Row],[Total Paid]]+Table2[[#This Row],[Due]]</f>
        <v>200</v>
      </c>
      <c r="O95">
        <v>0</v>
      </c>
      <c r="P95">
        <v>0</v>
      </c>
      <c r="Q95">
        <v>200</v>
      </c>
      <c r="R95">
        <v>0</v>
      </c>
      <c r="S95">
        <v>0</v>
      </c>
      <c r="T95">
        <v>200</v>
      </c>
      <c r="U95">
        <v>0</v>
      </c>
      <c r="V95">
        <v>200</v>
      </c>
      <c r="W95" t="s">
        <v>30</v>
      </c>
      <c r="X95" s="6" t="s">
        <v>233</v>
      </c>
    </row>
    <row r="96" spans="1:24" x14ac:dyDescent="0.25">
      <c r="A96" t="s">
        <v>241</v>
      </c>
      <c r="B96" t="s">
        <v>232</v>
      </c>
      <c r="C96" t="s">
        <v>24</v>
      </c>
      <c r="D96">
        <v>5</v>
      </c>
      <c r="E96" s="1">
        <v>45172</v>
      </c>
      <c r="F96" t="s">
        <v>50</v>
      </c>
      <c r="G96" t="s">
        <v>26</v>
      </c>
      <c r="H96" t="str">
        <f>INDEX(Table1[Diagnosis],MATCH(I96,'codeand diagnosis'!$A$2:$A$11,0))</f>
        <v>Dental examination</v>
      </c>
      <c r="I96" t="s">
        <v>45</v>
      </c>
      <c r="J96" t="str">
        <f>INDEX(Table1[ICD-10 Code],MATCH(Table2[[#This Row],[Treatment]],Table1[Treatment Type],0))</f>
        <v>Z01.2</v>
      </c>
      <c r="K96" t="s">
        <v>28</v>
      </c>
      <c r="L96" t="s">
        <v>28</v>
      </c>
      <c r="M96" t="s">
        <v>29</v>
      </c>
      <c r="N96">
        <f>Table2[[#This Row],[Total Paid]]+Table2[[#This Row],[Due]]</f>
        <v>120</v>
      </c>
      <c r="O96">
        <v>0</v>
      </c>
      <c r="P96">
        <v>0</v>
      </c>
      <c r="Q96">
        <v>200</v>
      </c>
      <c r="R96">
        <v>0</v>
      </c>
      <c r="S96">
        <v>80</v>
      </c>
      <c r="T96">
        <v>120</v>
      </c>
      <c r="U96">
        <v>0</v>
      </c>
      <c r="V96">
        <v>120</v>
      </c>
      <c r="W96" t="s">
        <v>51</v>
      </c>
      <c r="X96" s="6" t="s">
        <v>233</v>
      </c>
    </row>
    <row r="97" spans="1:24" hidden="1" x14ac:dyDescent="0.25">
      <c r="A97" t="s">
        <v>242</v>
      </c>
      <c r="B97" t="s">
        <v>243</v>
      </c>
      <c r="C97" t="s">
        <v>24</v>
      </c>
      <c r="D97">
        <v>64</v>
      </c>
      <c r="E97" s="1">
        <v>45233</v>
      </c>
      <c r="F97" t="s">
        <v>50</v>
      </c>
      <c r="G97" t="s">
        <v>26</v>
      </c>
      <c r="H97" t="str">
        <f>INDEX(Table1[Diagnosis],MATCH(I97,'codeand diagnosis'!$A$2:$A$11,0))</f>
        <v>Dental examination with radiology</v>
      </c>
      <c r="I97" t="s">
        <v>37</v>
      </c>
      <c r="J97" t="str">
        <f>INDEX(Table1[ICD-10 Code],MATCH(Table2[[#This Row],[Treatment]],Table1[Treatment Type],0))</f>
        <v>Z01.2</v>
      </c>
      <c r="K97" t="s">
        <v>28</v>
      </c>
      <c r="L97" t="s">
        <v>38</v>
      </c>
      <c r="M97" t="s">
        <v>29</v>
      </c>
      <c r="N97">
        <f>Table2[[#This Row],[Total Paid]]+Table2[[#This Row],[Due]]</f>
        <v>350</v>
      </c>
      <c r="O97">
        <v>0</v>
      </c>
      <c r="P97">
        <v>150</v>
      </c>
      <c r="Q97">
        <v>200</v>
      </c>
      <c r="R97">
        <v>0</v>
      </c>
      <c r="S97">
        <v>0</v>
      </c>
      <c r="T97">
        <v>350</v>
      </c>
      <c r="U97">
        <v>0</v>
      </c>
      <c r="V97">
        <v>350</v>
      </c>
      <c r="W97" t="s">
        <v>51</v>
      </c>
      <c r="X97" s="6" t="s">
        <v>233</v>
      </c>
    </row>
    <row r="98" spans="1:24" hidden="1" x14ac:dyDescent="0.25">
      <c r="A98" t="s">
        <v>244</v>
      </c>
      <c r="B98" t="s">
        <v>167</v>
      </c>
      <c r="C98" t="s">
        <v>24</v>
      </c>
      <c r="D98">
        <v>53</v>
      </c>
      <c r="E98" s="1">
        <v>45263</v>
      </c>
      <c r="F98" t="s">
        <v>245</v>
      </c>
      <c r="G98" t="s">
        <v>26</v>
      </c>
      <c r="H98" t="str">
        <f>INDEX(Table1[Diagnosis],MATCH(I98,'codeand diagnosis'!$A$2:$A$11,0))</f>
        <v>Gingivitis</v>
      </c>
      <c r="I98" t="s">
        <v>27</v>
      </c>
      <c r="J98" t="str">
        <f>INDEX(Table1[ICD-10 Code],MATCH(Table2[[#This Row],[Treatment]],Table1[Treatment Type],0))</f>
        <v>K05.10</v>
      </c>
      <c r="K98" t="s">
        <v>28</v>
      </c>
      <c r="L98" t="s">
        <v>38</v>
      </c>
      <c r="M98" t="s">
        <v>61</v>
      </c>
      <c r="N98">
        <f>Table2[[#This Row],[Total Paid]]+Table2[[#This Row],[Due]]</f>
        <v>644</v>
      </c>
      <c r="O98">
        <v>644</v>
      </c>
      <c r="P98">
        <v>0</v>
      </c>
      <c r="Q98">
        <v>0</v>
      </c>
      <c r="R98">
        <v>0</v>
      </c>
      <c r="S98">
        <v>0</v>
      </c>
      <c r="T98">
        <v>644</v>
      </c>
      <c r="U98">
        <v>0</v>
      </c>
      <c r="V98">
        <v>644</v>
      </c>
      <c r="W98" t="s">
        <v>51</v>
      </c>
      <c r="X98" s="6" t="s">
        <v>233</v>
      </c>
    </row>
    <row r="99" spans="1:24" hidden="1" x14ac:dyDescent="0.25">
      <c r="A99" t="s">
        <v>246</v>
      </c>
      <c r="B99" t="s">
        <v>224</v>
      </c>
      <c r="C99" t="s">
        <v>34</v>
      </c>
      <c r="D99">
        <v>20</v>
      </c>
      <c r="E99" t="s">
        <v>247</v>
      </c>
      <c r="F99" t="s">
        <v>132</v>
      </c>
      <c r="G99" t="s">
        <v>36</v>
      </c>
      <c r="H99" t="str">
        <f>INDEX(Table1[Diagnosis],MATCH(I99,'codeand diagnosis'!$A$2:$A$11,0))</f>
        <v>Loss of teeth</v>
      </c>
      <c r="I99" t="s">
        <v>68</v>
      </c>
      <c r="J99" t="str">
        <f>INDEX(Table1[ICD-10 Code],MATCH(Table2[[#This Row],[Treatment]],Table1[Treatment Type],0))</f>
        <v>K08.1</v>
      </c>
      <c r="K99" t="s">
        <v>28</v>
      </c>
      <c r="L99" t="s">
        <v>38</v>
      </c>
      <c r="M99" t="s">
        <v>46</v>
      </c>
      <c r="N99">
        <f>Table2[[#This Row],[Total Paid]]+Table2[[#This Row],[Due]]</f>
        <v>592</v>
      </c>
      <c r="O99">
        <v>592</v>
      </c>
      <c r="P99">
        <v>0</v>
      </c>
      <c r="Q99">
        <v>0</v>
      </c>
      <c r="R99">
        <v>0</v>
      </c>
      <c r="S99">
        <v>0</v>
      </c>
      <c r="T99">
        <v>592</v>
      </c>
      <c r="U99">
        <v>0</v>
      </c>
      <c r="V99">
        <v>592</v>
      </c>
      <c r="W99" t="s">
        <v>47</v>
      </c>
      <c r="X99" s="6" t="s">
        <v>233</v>
      </c>
    </row>
    <row r="100" spans="1:24" hidden="1" x14ac:dyDescent="0.25">
      <c r="A100" t="s">
        <v>248</v>
      </c>
      <c r="B100" t="s">
        <v>67</v>
      </c>
      <c r="C100" t="s">
        <v>24</v>
      </c>
      <c r="D100">
        <v>28</v>
      </c>
      <c r="E100" t="s">
        <v>247</v>
      </c>
      <c r="F100" t="s">
        <v>88</v>
      </c>
      <c r="G100" t="s">
        <v>36</v>
      </c>
      <c r="H100" t="str">
        <f>INDEX(Table1[Diagnosis],MATCH(I100,'codeand diagnosis'!$A$2:$A$11,0))</f>
        <v>Dental examination with radiology</v>
      </c>
      <c r="I100" t="s">
        <v>37</v>
      </c>
      <c r="J100" t="str">
        <f>INDEX(Table1[ICD-10 Code],MATCH(Table2[[#This Row],[Treatment]],Table1[Treatment Type],0))</f>
        <v>Z01.2</v>
      </c>
      <c r="K100" t="s">
        <v>28</v>
      </c>
      <c r="L100" t="s">
        <v>38</v>
      </c>
      <c r="M100" t="s">
        <v>29</v>
      </c>
      <c r="N100">
        <f>Table2[[#This Row],[Total Paid]]+Table2[[#This Row],[Due]]</f>
        <v>350</v>
      </c>
      <c r="O100">
        <v>0</v>
      </c>
      <c r="P100">
        <v>150</v>
      </c>
      <c r="Q100">
        <v>200</v>
      </c>
      <c r="R100">
        <v>0</v>
      </c>
      <c r="S100">
        <v>0</v>
      </c>
      <c r="T100">
        <v>350</v>
      </c>
      <c r="U100">
        <v>0</v>
      </c>
      <c r="V100">
        <v>350</v>
      </c>
      <c r="W100" t="s">
        <v>47</v>
      </c>
      <c r="X100" s="6" t="s">
        <v>233</v>
      </c>
    </row>
    <row r="101" spans="1:24" hidden="1" x14ac:dyDescent="0.25">
      <c r="A101" t="s">
        <v>249</v>
      </c>
      <c r="B101" t="s">
        <v>177</v>
      </c>
      <c r="C101" t="s">
        <v>34</v>
      </c>
      <c r="D101">
        <v>13</v>
      </c>
      <c r="E101" t="s">
        <v>250</v>
      </c>
      <c r="F101" t="s">
        <v>132</v>
      </c>
      <c r="G101" t="s">
        <v>36</v>
      </c>
      <c r="H101" t="str">
        <f>INDEX(Table1[Diagnosis],MATCH(I101,'codeand diagnosis'!$A$2:$A$11,0))</f>
        <v>Retained dental root</v>
      </c>
      <c r="I101" t="s">
        <v>145</v>
      </c>
      <c r="J101" t="str">
        <f>INDEX(Table1[ICD-10 Code],MATCH(Table2[[#This Row],[Treatment]],Table1[Treatment Type],0))</f>
        <v>K08.3</v>
      </c>
      <c r="K101" t="s">
        <v>28</v>
      </c>
      <c r="L101" t="s">
        <v>38</v>
      </c>
      <c r="M101" t="s">
        <v>29</v>
      </c>
      <c r="N101">
        <f>Table2[[#This Row],[Total Paid]]+Table2[[#This Row],[Due]]</f>
        <v>2655</v>
      </c>
      <c r="O101">
        <v>2655</v>
      </c>
      <c r="P101">
        <v>0</v>
      </c>
      <c r="Q101">
        <v>0</v>
      </c>
      <c r="R101">
        <v>950</v>
      </c>
      <c r="S101">
        <v>0</v>
      </c>
      <c r="T101">
        <v>2655</v>
      </c>
      <c r="U101">
        <v>0</v>
      </c>
      <c r="V101">
        <v>1705</v>
      </c>
      <c r="W101" t="s">
        <v>51</v>
      </c>
      <c r="X101" s="6" t="s">
        <v>233</v>
      </c>
    </row>
    <row r="102" spans="1:24" hidden="1" x14ac:dyDescent="0.25">
      <c r="A102" t="s">
        <v>251</v>
      </c>
      <c r="B102" t="s">
        <v>121</v>
      </c>
      <c r="C102" t="s">
        <v>34</v>
      </c>
      <c r="D102">
        <v>50</v>
      </c>
      <c r="E102" t="s">
        <v>250</v>
      </c>
      <c r="F102" t="s">
        <v>25</v>
      </c>
      <c r="G102" t="s">
        <v>26</v>
      </c>
      <c r="H102" t="str">
        <f>INDEX(Table1[Diagnosis],MATCH(I102,'codeand diagnosis'!$A$2:$A$11,0))</f>
        <v>Cosmetic procedure</v>
      </c>
      <c r="I102" t="s">
        <v>55</v>
      </c>
      <c r="J102" t="str">
        <f>INDEX(Table1[ICD-10 Code],MATCH(Table2[[#This Row],[Treatment]],Table1[Treatment Type],0))</f>
        <v>Z41.1</v>
      </c>
      <c r="K102" t="s">
        <v>28</v>
      </c>
      <c r="L102" t="s">
        <v>28</v>
      </c>
      <c r="M102" t="s">
        <v>29</v>
      </c>
      <c r="N102">
        <f>Table2[[#This Row],[Total Paid]]+Table2[[#This Row],[Due]]</f>
        <v>1460</v>
      </c>
      <c r="O102">
        <v>1460</v>
      </c>
      <c r="P102">
        <v>0</v>
      </c>
      <c r="Q102">
        <v>0</v>
      </c>
      <c r="R102">
        <v>0</v>
      </c>
      <c r="S102">
        <v>0</v>
      </c>
      <c r="T102">
        <v>1248</v>
      </c>
      <c r="U102">
        <v>212</v>
      </c>
      <c r="V102">
        <v>1248</v>
      </c>
      <c r="W102" t="s">
        <v>51</v>
      </c>
      <c r="X102" s="6" t="s">
        <v>233</v>
      </c>
    </row>
    <row r="103" spans="1:24" hidden="1" x14ac:dyDescent="0.25">
      <c r="A103" t="s">
        <v>252</v>
      </c>
      <c r="B103" t="s">
        <v>204</v>
      </c>
      <c r="C103" t="s">
        <v>34</v>
      </c>
      <c r="D103">
        <v>46</v>
      </c>
      <c r="E103" t="s">
        <v>250</v>
      </c>
      <c r="F103" t="s">
        <v>35</v>
      </c>
      <c r="G103" t="s">
        <v>36</v>
      </c>
      <c r="H103" t="str">
        <f>INDEX(Table1[Diagnosis],MATCH(I103,'codeand diagnosis'!$A$2:$A$11,0))</f>
        <v>Loss of teeth</v>
      </c>
      <c r="I103" t="s">
        <v>68</v>
      </c>
      <c r="J103" t="str">
        <f>INDEX(Table1[ICD-10 Code],MATCH(Table2[[#This Row],[Treatment]],Table1[Treatment Type],0))</f>
        <v>K08.1</v>
      </c>
      <c r="K103" t="s">
        <v>28</v>
      </c>
      <c r="L103" t="s">
        <v>38</v>
      </c>
      <c r="M103" t="s">
        <v>29</v>
      </c>
      <c r="N103">
        <f>Table2[[#This Row],[Total Paid]]+Table2[[#This Row],[Due]]</f>
        <v>694</v>
      </c>
      <c r="O103">
        <v>694</v>
      </c>
      <c r="P103">
        <v>0</v>
      </c>
      <c r="Q103">
        <v>0</v>
      </c>
      <c r="R103">
        <v>0</v>
      </c>
      <c r="S103">
        <v>0</v>
      </c>
      <c r="T103">
        <v>694</v>
      </c>
      <c r="U103">
        <v>0</v>
      </c>
      <c r="V103">
        <v>694</v>
      </c>
      <c r="W103" t="s">
        <v>42</v>
      </c>
      <c r="X103" s="6" t="s">
        <v>233</v>
      </c>
    </row>
    <row r="104" spans="1:24" hidden="1" x14ac:dyDescent="0.25">
      <c r="A104" t="s">
        <v>253</v>
      </c>
      <c r="B104" t="s">
        <v>103</v>
      </c>
      <c r="C104" t="s">
        <v>34</v>
      </c>
      <c r="D104">
        <v>66</v>
      </c>
      <c r="E104" t="s">
        <v>254</v>
      </c>
      <c r="F104" t="s">
        <v>35</v>
      </c>
      <c r="G104" t="s">
        <v>26</v>
      </c>
      <c r="H104" t="str">
        <f>INDEX(Table1[Diagnosis],MATCH(I104,'codeand diagnosis'!$A$2:$A$11,0))</f>
        <v>Cosmetic procedure</v>
      </c>
      <c r="I104" t="s">
        <v>55</v>
      </c>
      <c r="J104" t="str">
        <f>INDEX(Table1[ICD-10 Code],MATCH(Table2[[#This Row],[Treatment]],Table1[Treatment Type],0))</f>
        <v>Z41.1</v>
      </c>
      <c r="K104" t="s">
        <v>28</v>
      </c>
      <c r="L104" t="s">
        <v>38</v>
      </c>
      <c r="M104" t="s">
        <v>29</v>
      </c>
      <c r="N104">
        <f>Table2[[#This Row],[Total Paid]]+Table2[[#This Row],[Due]]</f>
        <v>1387</v>
      </c>
      <c r="O104">
        <v>1387</v>
      </c>
      <c r="P104">
        <v>0</v>
      </c>
      <c r="Q104">
        <v>0</v>
      </c>
      <c r="R104">
        <v>0</v>
      </c>
      <c r="S104">
        <v>0</v>
      </c>
      <c r="T104">
        <v>879</v>
      </c>
      <c r="U104">
        <v>508</v>
      </c>
      <c r="V104">
        <v>879</v>
      </c>
      <c r="W104" t="s">
        <v>51</v>
      </c>
      <c r="X104" s="6" t="s">
        <v>233</v>
      </c>
    </row>
    <row r="105" spans="1:24" hidden="1" x14ac:dyDescent="0.25">
      <c r="A105" t="s">
        <v>255</v>
      </c>
      <c r="B105" t="s">
        <v>86</v>
      </c>
      <c r="C105" t="s">
        <v>34</v>
      </c>
      <c r="D105">
        <v>72</v>
      </c>
      <c r="E105" t="s">
        <v>256</v>
      </c>
      <c r="F105" t="s">
        <v>35</v>
      </c>
      <c r="G105" t="s">
        <v>36</v>
      </c>
      <c r="H105" t="str">
        <f>INDEX(Table1[Diagnosis],MATCH(I105,'codeand diagnosis'!$A$2:$A$11,0))</f>
        <v>Dental examination</v>
      </c>
      <c r="I105" t="s">
        <v>45</v>
      </c>
      <c r="J105" t="str">
        <f>INDEX(Table1[ICD-10 Code],MATCH(Table2[[#This Row],[Treatment]],Table1[Treatment Type],0))</f>
        <v>Z01.2</v>
      </c>
      <c r="K105" t="s">
        <v>28</v>
      </c>
      <c r="L105" t="s">
        <v>28</v>
      </c>
      <c r="M105" t="s">
        <v>46</v>
      </c>
      <c r="N105">
        <f>Table2[[#This Row],[Total Paid]]+Table2[[#This Row],[Due]]</f>
        <v>200</v>
      </c>
      <c r="O105">
        <v>0</v>
      </c>
      <c r="P105">
        <v>0</v>
      </c>
      <c r="Q105">
        <v>200</v>
      </c>
      <c r="R105">
        <v>0</v>
      </c>
      <c r="S105">
        <v>0</v>
      </c>
      <c r="T105">
        <v>200</v>
      </c>
      <c r="U105">
        <v>0</v>
      </c>
      <c r="V105">
        <v>200</v>
      </c>
      <c r="W105" t="s">
        <v>42</v>
      </c>
      <c r="X105" s="6" t="s">
        <v>233</v>
      </c>
    </row>
    <row r="106" spans="1:24" hidden="1" x14ac:dyDescent="0.25">
      <c r="A106" t="s">
        <v>257</v>
      </c>
      <c r="B106" t="s">
        <v>156</v>
      </c>
      <c r="C106" t="s">
        <v>24</v>
      </c>
      <c r="D106">
        <v>51</v>
      </c>
      <c r="E106" t="s">
        <v>258</v>
      </c>
      <c r="F106" t="s">
        <v>259</v>
      </c>
      <c r="G106" t="s">
        <v>36</v>
      </c>
      <c r="H106" t="str">
        <f>INDEX(Table1[Diagnosis],MATCH(I106,'codeand diagnosis'!$A$2:$A$11,0))</f>
        <v>Dental examination</v>
      </c>
      <c r="I106" t="s">
        <v>45</v>
      </c>
      <c r="J106" t="str">
        <f>INDEX(Table1[ICD-10 Code],MATCH(Table2[[#This Row],[Treatment]],Table1[Treatment Type],0))</f>
        <v>Z01.2</v>
      </c>
      <c r="K106" t="s">
        <v>28</v>
      </c>
      <c r="L106" t="s">
        <v>28</v>
      </c>
      <c r="M106" t="s">
        <v>61</v>
      </c>
      <c r="N106">
        <f>Table2[[#This Row],[Total Paid]]+Table2[[#This Row],[Due]]</f>
        <v>200</v>
      </c>
      <c r="O106">
        <v>0</v>
      </c>
      <c r="P106">
        <v>0</v>
      </c>
      <c r="Q106">
        <v>200</v>
      </c>
      <c r="R106">
        <v>0</v>
      </c>
      <c r="S106">
        <v>0</v>
      </c>
      <c r="T106">
        <v>200</v>
      </c>
      <c r="U106">
        <v>0</v>
      </c>
      <c r="V106">
        <v>200</v>
      </c>
      <c r="W106" t="s">
        <v>47</v>
      </c>
      <c r="X106" s="6" t="s">
        <v>233</v>
      </c>
    </row>
    <row r="107" spans="1:24" hidden="1" x14ac:dyDescent="0.25">
      <c r="A107" t="s">
        <v>260</v>
      </c>
      <c r="B107" t="s">
        <v>148</v>
      </c>
      <c r="C107" t="s">
        <v>24</v>
      </c>
      <c r="D107">
        <v>13</v>
      </c>
      <c r="E107" t="s">
        <v>258</v>
      </c>
      <c r="F107" t="s">
        <v>88</v>
      </c>
      <c r="G107" t="s">
        <v>26</v>
      </c>
      <c r="H107" t="str">
        <f>INDEX(Table1[Diagnosis],MATCH(I107,'codeand diagnosis'!$A$2:$A$11,0))</f>
        <v>Dental examination</v>
      </c>
      <c r="I107" t="s">
        <v>45</v>
      </c>
      <c r="J107" t="str">
        <f>INDEX(Table1[ICD-10 Code],MATCH(Table2[[#This Row],[Treatment]],Table1[Treatment Type],0))</f>
        <v>Z01.2</v>
      </c>
      <c r="K107" t="s">
        <v>28</v>
      </c>
      <c r="L107" t="s">
        <v>28</v>
      </c>
      <c r="M107" t="s">
        <v>29</v>
      </c>
      <c r="N107">
        <f>Table2[[#This Row],[Total Paid]]+Table2[[#This Row],[Due]]</f>
        <v>200</v>
      </c>
      <c r="O107">
        <v>0</v>
      </c>
      <c r="P107">
        <v>0</v>
      </c>
      <c r="Q107">
        <v>200</v>
      </c>
      <c r="R107">
        <v>0</v>
      </c>
      <c r="S107">
        <v>0</v>
      </c>
      <c r="T107">
        <v>200</v>
      </c>
      <c r="U107">
        <v>0</v>
      </c>
      <c r="V107">
        <v>200</v>
      </c>
      <c r="W107" t="s">
        <v>47</v>
      </c>
      <c r="X107" s="6" t="s">
        <v>233</v>
      </c>
    </row>
    <row r="108" spans="1:24" hidden="1" x14ac:dyDescent="0.25">
      <c r="A108" t="s">
        <v>261</v>
      </c>
      <c r="B108" t="s">
        <v>262</v>
      </c>
      <c r="C108" t="s">
        <v>34</v>
      </c>
      <c r="D108">
        <v>59</v>
      </c>
      <c r="E108" t="s">
        <v>258</v>
      </c>
      <c r="F108" t="s">
        <v>35</v>
      </c>
      <c r="G108" t="s">
        <v>36</v>
      </c>
      <c r="H108" t="str">
        <f>INDEX(Table1[Diagnosis],MATCH(I108,'codeand diagnosis'!$A$2:$A$11,0))</f>
        <v>Dental examination with radiology</v>
      </c>
      <c r="I108" t="s">
        <v>37</v>
      </c>
      <c r="J108" t="str">
        <f>INDEX(Table1[ICD-10 Code],MATCH(Table2[[#This Row],[Treatment]],Table1[Treatment Type],0))</f>
        <v>Z01.2</v>
      </c>
      <c r="K108" t="s">
        <v>28</v>
      </c>
      <c r="L108" t="s">
        <v>38</v>
      </c>
      <c r="M108" t="s">
        <v>29</v>
      </c>
      <c r="N108">
        <f>Table2[[#This Row],[Total Paid]]+Table2[[#This Row],[Due]]</f>
        <v>350</v>
      </c>
      <c r="O108">
        <v>0</v>
      </c>
      <c r="P108">
        <v>150</v>
      </c>
      <c r="Q108">
        <v>200</v>
      </c>
      <c r="R108">
        <v>0</v>
      </c>
      <c r="S108">
        <v>0</v>
      </c>
      <c r="T108">
        <v>350</v>
      </c>
      <c r="U108">
        <v>0</v>
      </c>
      <c r="V108">
        <v>350</v>
      </c>
      <c r="W108" t="s">
        <v>51</v>
      </c>
      <c r="X108" s="6" t="s">
        <v>233</v>
      </c>
    </row>
    <row r="109" spans="1:24" hidden="1" x14ac:dyDescent="0.25">
      <c r="A109" t="s">
        <v>263</v>
      </c>
      <c r="B109" t="s">
        <v>180</v>
      </c>
      <c r="C109" t="s">
        <v>24</v>
      </c>
      <c r="D109">
        <v>56</v>
      </c>
      <c r="E109" t="s">
        <v>264</v>
      </c>
      <c r="F109" t="s">
        <v>50</v>
      </c>
      <c r="G109" t="s">
        <v>26</v>
      </c>
      <c r="H109" t="str">
        <f>INDEX(Table1[Diagnosis],MATCH(I109,'codeand diagnosis'!$A$2:$A$11,0))</f>
        <v>Dental examination with radiology</v>
      </c>
      <c r="I109" t="s">
        <v>37</v>
      </c>
      <c r="J109" t="str">
        <f>INDEX(Table1[ICD-10 Code],MATCH(Table2[[#This Row],[Treatment]],Table1[Treatment Type],0))</f>
        <v>Z01.2</v>
      </c>
      <c r="K109" t="s">
        <v>28</v>
      </c>
      <c r="L109" t="s">
        <v>38</v>
      </c>
      <c r="M109" t="s">
        <v>29</v>
      </c>
      <c r="N109">
        <f>Table2[[#This Row],[Total Paid]]+Table2[[#This Row],[Due]]</f>
        <v>350</v>
      </c>
      <c r="O109">
        <v>0</v>
      </c>
      <c r="P109">
        <v>150</v>
      </c>
      <c r="Q109">
        <v>200</v>
      </c>
      <c r="R109">
        <v>0</v>
      </c>
      <c r="S109">
        <v>0</v>
      </c>
      <c r="T109">
        <v>350</v>
      </c>
      <c r="U109">
        <v>0</v>
      </c>
      <c r="V109">
        <v>350</v>
      </c>
      <c r="W109" t="s">
        <v>42</v>
      </c>
      <c r="X109" s="6" t="s">
        <v>233</v>
      </c>
    </row>
    <row r="110" spans="1:24" hidden="1" x14ac:dyDescent="0.25">
      <c r="A110" t="s">
        <v>265</v>
      </c>
      <c r="B110" t="s">
        <v>77</v>
      </c>
      <c r="C110" t="s">
        <v>34</v>
      </c>
      <c r="D110">
        <v>6</v>
      </c>
      <c r="E110" t="s">
        <v>264</v>
      </c>
      <c r="F110" t="s">
        <v>266</v>
      </c>
      <c r="G110" t="s">
        <v>26</v>
      </c>
      <c r="H110" t="str">
        <f>INDEX(Table1[Diagnosis],MATCH(I110,'codeand diagnosis'!$A$2:$A$11,0))</f>
        <v>Dental examination</v>
      </c>
      <c r="I110" t="s">
        <v>45</v>
      </c>
      <c r="J110" t="str">
        <f>INDEX(Table1[ICD-10 Code],MATCH(Table2[[#This Row],[Treatment]],Table1[Treatment Type],0))</f>
        <v>Z01.2</v>
      </c>
      <c r="K110" t="s">
        <v>28</v>
      </c>
      <c r="L110" t="s">
        <v>28</v>
      </c>
      <c r="M110" t="s">
        <v>29</v>
      </c>
      <c r="N110">
        <f>Table2[[#This Row],[Total Paid]]+Table2[[#This Row],[Due]]</f>
        <v>120</v>
      </c>
      <c r="O110">
        <v>0</v>
      </c>
      <c r="P110">
        <v>0</v>
      </c>
      <c r="Q110">
        <v>200</v>
      </c>
      <c r="R110">
        <v>0</v>
      </c>
      <c r="S110">
        <v>80</v>
      </c>
      <c r="T110">
        <v>120</v>
      </c>
      <c r="U110">
        <v>0</v>
      </c>
      <c r="V110">
        <v>120</v>
      </c>
      <c r="W110" t="s">
        <v>51</v>
      </c>
      <c r="X110" s="6" t="s">
        <v>233</v>
      </c>
    </row>
    <row r="111" spans="1:24" hidden="1" x14ac:dyDescent="0.25">
      <c r="A111" t="s">
        <v>267</v>
      </c>
      <c r="B111" t="s">
        <v>268</v>
      </c>
      <c r="C111" t="s">
        <v>34</v>
      </c>
      <c r="D111">
        <v>75</v>
      </c>
      <c r="E111" t="s">
        <v>269</v>
      </c>
      <c r="F111" t="s">
        <v>50</v>
      </c>
      <c r="G111" t="s">
        <v>26</v>
      </c>
      <c r="H111" t="str">
        <f>INDEX(Table1[Diagnosis],MATCH(I111,'codeand diagnosis'!$A$2:$A$11,0))</f>
        <v>Dental examination</v>
      </c>
      <c r="I111" t="s">
        <v>45</v>
      </c>
      <c r="J111" t="str">
        <f>INDEX(Table1[ICD-10 Code],MATCH(Table2[[#This Row],[Treatment]],Table1[Treatment Type],0))</f>
        <v>Z01.2</v>
      </c>
      <c r="K111" t="s">
        <v>28</v>
      </c>
      <c r="L111" t="s">
        <v>28</v>
      </c>
      <c r="M111" t="s">
        <v>29</v>
      </c>
      <c r="N111">
        <f>Table2[[#This Row],[Total Paid]]+Table2[[#This Row],[Due]]</f>
        <v>200</v>
      </c>
      <c r="O111">
        <v>0</v>
      </c>
      <c r="P111">
        <v>0</v>
      </c>
      <c r="Q111">
        <v>200</v>
      </c>
      <c r="R111">
        <v>0</v>
      </c>
      <c r="S111">
        <v>0</v>
      </c>
      <c r="T111">
        <v>200</v>
      </c>
      <c r="U111">
        <v>0</v>
      </c>
      <c r="V111">
        <v>200</v>
      </c>
      <c r="W111" t="s">
        <v>42</v>
      </c>
      <c r="X111" s="6" t="s">
        <v>233</v>
      </c>
    </row>
    <row r="112" spans="1:24" hidden="1" x14ac:dyDescent="0.25">
      <c r="A112" t="s">
        <v>270</v>
      </c>
      <c r="B112" t="s">
        <v>271</v>
      </c>
      <c r="C112" t="s">
        <v>24</v>
      </c>
      <c r="D112">
        <v>57</v>
      </c>
      <c r="E112" t="s">
        <v>272</v>
      </c>
      <c r="F112" t="s">
        <v>50</v>
      </c>
      <c r="G112" t="s">
        <v>36</v>
      </c>
      <c r="H112" t="str">
        <f>INDEX(Table1[Diagnosis],MATCH(I112,'codeand diagnosis'!$A$2:$A$11,0))</f>
        <v>Gingivitis</v>
      </c>
      <c r="I112" t="s">
        <v>27</v>
      </c>
      <c r="J112" t="str">
        <f>INDEX(Table1[ICD-10 Code],MATCH(Table2[[#This Row],[Treatment]],Table1[Treatment Type],0))</f>
        <v>K05.10</v>
      </c>
      <c r="K112" t="s">
        <v>28</v>
      </c>
      <c r="L112" t="s">
        <v>28</v>
      </c>
      <c r="M112" t="s">
        <v>29</v>
      </c>
      <c r="N112">
        <f>Table2[[#This Row],[Total Paid]]+Table2[[#This Row],[Due]]</f>
        <v>512</v>
      </c>
      <c r="O112">
        <v>512</v>
      </c>
      <c r="P112">
        <v>0</v>
      </c>
      <c r="Q112">
        <v>0</v>
      </c>
      <c r="R112">
        <v>0</v>
      </c>
      <c r="S112">
        <v>0</v>
      </c>
      <c r="T112">
        <v>512</v>
      </c>
      <c r="U112">
        <v>0</v>
      </c>
      <c r="V112">
        <v>512</v>
      </c>
      <c r="W112" t="s">
        <v>30</v>
      </c>
      <c r="X112" s="6" t="s">
        <v>233</v>
      </c>
    </row>
    <row r="113" spans="1:24" hidden="1" x14ac:dyDescent="0.25">
      <c r="A113" t="s">
        <v>273</v>
      </c>
      <c r="B113" t="s">
        <v>86</v>
      </c>
      <c r="C113" t="s">
        <v>34</v>
      </c>
      <c r="D113">
        <v>10</v>
      </c>
      <c r="E113" t="s">
        <v>272</v>
      </c>
      <c r="F113" t="s">
        <v>50</v>
      </c>
      <c r="G113" t="s">
        <v>26</v>
      </c>
      <c r="H113" t="str">
        <f>INDEX(Table1[Diagnosis],MATCH(I113,'codeand diagnosis'!$A$2:$A$11,0))</f>
        <v>Malocclusion</v>
      </c>
      <c r="I113" t="s">
        <v>89</v>
      </c>
      <c r="J113" t="str">
        <f>INDEX(Table1[ICD-10 Code],MATCH(Table2[[#This Row],[Treatment]],Table1[Treatment Type],0))</f>
        <v>K07.4</v>
      </c>
      <c r="K113" t="s">
        <v>28</v>
      </c>
      <c r="L113" t="s">
        <v>28</v>
      </c>
      <c r="M113" t="s">
        <v>29</v>
      </c>
      <c r="N113">
        <f>Table2[[#This Row],[Total Paid]]+Table2[[#This Row],[Due]]</f>
        <v>11420</v>
      </c>
      <c r="O113">
        <v>12170</v>
      </c>
      <c r="P113">
        <v>0</v>
      </c>
      <c r="Q113">
        <v>0</v>
      </c>
      <c r="R113">
        <v>3510</v>
      </c>
      <c r="S113">
        <v>750</v>
      </c>
      <c r="T113">
        <v>8645</v>
      </c>
      <c r="U113">
        <v>2775</v>
      </c>
      <c r="V113">
        <v>5135</v>
      </c>
      <c r="W113" t="s">
        <v>42</v>
      </c>
      <c r="X113" s="6" t="s">
        <v>233</v>
      </c>
    </row>
    <row r="114" spans="1:24" hidden="1" x14ac:dyDescent="0.25">
      <c r="A114" t="s">
        <v>274</v>
      </c>
      <c r="B114" t="s">
        <v>275</v>
      </c>
      <c r="C114" t="s">
        <v>34</v>
      </c>
      <c r="D114">
        <v>42</v>
      </c>
      <c r="E114" t="s">
        <v>276</v>
      </c>
      <c r="F114" t="s">
        <v>92</v>
      </c>
      <c r="G114" t="s">
        <v>36</v>
      </c>
      <c r="H114" t="str">
        <f>INDEX(Table1[Diagnosis],MATCH(I114,'codeand diagnosis'!$A$2:$A$11,0))</f>
        <v>Retained dental root</v>
      </c>
      <c r="I114" t="s">
        <v>145</v>
      </c>
      <c r="J114" t="str">
        <f>INDEX(Table1[ICD-10 Code],MATCH(Table2[[#This Row],[Treatment]],Table1[Treatment Type],0))</f>
        <v>K08.3</v>
      </c>
      <c r="K114" t="s">
        <v>28</v>
      </c>
      <c r="L114" t="s">
        <v>28</v>
      </c>
      <c r="M114" t="s">
        <v>29</v>
      </c>
      <c r="N114">
        <f>Table2[[#This Row],[Total Paid]]+Table2[[#This Row],[Due]]</f>
        <v>2186</v>
      </c>
      <c r="O114">
        <v>2186</v>
      </c>
      <c r="P114">
        <v>0</v>
      </c>
      <c r="Q114">
        <v>0</v>
      </c>
      <c r="R114">
        <v>740</v>
      </c>
      <c r="S114">
        <v>0</v>
      </c>
      <c r="T114">
        <v>2186</v>
      </c>
      <c r="U114">
        <v>0</v>
      </c>
      <c r="V114">
        <v>1446</v>
      </c>
      <c r="W114" t="s">
        <v>51</v>
      </c>
      <c r="X114" s="6" t="s">
        <v>233</v>
      </c>
    </row>
    <row r="115" spans="1:24" hidden="1" x14ac:dyDescent="0.25">
      <c r="A115" t="s">
        <v>277</v>
      </c>
      <c r="B115" t="s">
        <v>82</v>
      </c>
      <c r="C115" t="s">
        <v>24</v>
      </c>
      <c r="D115">
        <v>29</v>
      </c>
      <c r="E115" t="s">
        <v>276</v>
      </c>
      <c r="F115" t="s">
        <v>50</v>
      </c>
      <c r="G115" t="s">
        <v>26</v>
      </c>
      <c r="H115" t="str">
        <f>INDEX(Table1[Diagnosis],MATCH(I115,'codeand diagnosis'!$A$2:$A$11,0))</f>
        <v>Dental examination with radiology</v>
      </c>
      <c r="I115" t="s">
        <v>37</v>
      </c>
      <c r="J115" t="str">
        <f>INDEX(Table1[ICD-10 Code],MATCH(Table2[[#This Row],[Treatment]],Table1[Treatment Type],0))</f>
        <v>Z01.2</v>
      </c>
      <c r="K115" t="s">
        <v>28</v>
      </c>
      <c r="L115" t="s">
        <v>38</v>
      </c>
      <c r="M115" t="s">
        <v>29</v>
      </c>
      <c r="N115">
        <f>Table2[[#This Row],[Total Paid]]+Table2[[#This Row],[Due]]</f>
        <v>350</v>
      </c>
      <c r="O115">
        <v>0</v>
      </c>
      <c r="P115">
        <v>150</v>
      </c>
      <c r="Q115">
        <v>200</v>
      </c>
      <c r="R115">
        <v>0</v>
      </c>
      <c r="S115">
        <v>0</v>
      </c>
      <c r="T115">
        <v>350</v>
      </c>
      <c r="U115">
        <v>0</v>
      </c>
      <c r="V115">
        <v>350</v>
      </c>
      <c r="W115" t="s">
        <v>47</v>
      </c>
      <c r="X115" s="6" t="s">
        <v>233</v>
      </c>
    </row>
    <row r="116" spans="1:24" hidden="1" x14ac:dyDescent="0.25">
      <c r="A116" t="s">
        <v>278</v>
      </c>
      <c r="B116" t="s">
        <v>279</v>
      </c>
      <c r="C116" t="s">
        <v>34</v>
      </c>
      <c r="D116">
        <v>26</v>
      </c>
      <c r="E116" t="s">
        <v>276</v>
      </c>
      <c r="F116" t="s">
        <v>132</v>
      </c>
      <c r="G116" t="s">
        <v>36</v>
      </c>
      <c r="H116" t="str">
        <f>INDEX(Table1[Diagnosis],MATCH(I116,'codeand diagnosis'!$A$2:$A$11,0))</f>
        <v>Dental caries</v>
      </c>
      <c r="I116" t="s">
        <v>41</v>
      </c>
      <c r="J116" t="str">
        <f>INDEX(Table1[ICD-10 Code],MATCH(Table2[[#This Row],[Treatment]],Table1[Treatment Type],0))</f>
        <v>K02.9</v>
      </c>
      <c r="K116" t="s">
        <v>28</v>
      </c>
      <c r="L116" t="s">
        <v>28</v>
      </c>
      <c r="M116" t="s">
        <v>29</v>
      </c>
      <c r="N116">
        <f>Table2[[#This Row],[Total Paid]]+Table2[[#This Row],[Due]]</f>
        <v>955</v>
      </c>
      <c r="O116">
        <v>955</v>
      </c>
      <c r="P116">
        <v>0</v>
      </c>
      <c r="Q116">
        <v>0</v>
      </c>
      <c r="R116">
        <v>0</v>
      </c>
      <c r="S116">
        <v>0</v>
      </c>
      <c r="T116">
        <v>955</v>
      </c>
      <c r="U116">
        <v>0</v>
      </c>
      <c r="V116">
        <v>955</v>
      </c>
      <c r="W116" t="s">
        <v>42</v>
      </c>
      <c r="X116" s="6" t="s">
        <v>233</v>
      </c>
    </row>
    <row r="117" spans="1:24" hidden="1" x14ac:dyDescent="0.25">
      <c r="A117" t="s">
        <v>280</v>
      </c>
      <c r="B117" t="s">
        <v>144</v>
      </c>
      <c r="C117" t="s">
        <v>24</v>
      </c>
      <c r="D117">
        <v>62</v>
      </c>
      <c r="E117" t="s">
        <v>281</v>
      </c>
      <c r="F117" t="s">
        <v>50</v>
      </c>
      <c r="G117" t="s">
        <v>26</v>
      </c>
      <c r="H117" t="str">
        <f>INDEX(Table1[Diagnosis],MATCH(I117,'codeand diagnosis'!$A$2:$A$11,0))</f>
        <v>Pulpitis</v>
      </c>
      <c r="I117" t="s">
        <v>111</v>
      </c>
      <c r="J117" t="str">
        <f>INDEX(Table1[ICD-10 Code],MATCH(Table2[[#This Row],[Treatment]],Table1[Treatment Type],0))</f>
        <v>K04.0</v>
      </c>
      <c r="K117" t="s">
        <v>28</v>
      </c>
      <c r="L117" t="s">
        <v>28</v>
      </c>
      <c r="M117" t="s">
        <v>29</v>
      </c>
      <c r="N117">
        <f>Table2[[#This Row],[Total Paid]]+Table2[[#This Row],[Due]]</f>
        <v>2497</v>
      </c>
      <c r="O117">
        <v>2997</v>
      </c>
      <c r="P117">
        <v>0</v>
      </c>
      <c r="Q117">
        <v>0</v>
      </c>
      <c r="R117">
        <v>0</v>
      </c>
      <c r="S117">
        <v>500</v>
      </c>
      <c r="T117">
        <v>2497</v>
      </c>
      <c r="U117">
        <v>0</v>
      </c>
      <c r="V117">
        <v>2497</v>
      </c>
      <c r="W117" t="s">
        <v>47</v>
      </c>
      <c r="X117" s="6" t="s">
        <v>233</v>
      </c>
    </row>
    <row r="118" spans="1:24" hidden="1" x14ac:dyDescent="0.25">
      <c r="A118" t="s">
        <v>282</v>
      </c>
      <c r="B118" t="s">
        <v>224</v>
      </c>
      <c r="C118" t="s">
        <v>34</v>
      </c>
      <c r="D118">
        <v>21</v>
      </c>
      <c r="E118" t="s">
        <v>281</v>
      </c>
      <c r="F118" t="s">
        <v>88</v>
      </c>
      <c r="G118" t="s">
        <v>26</v>
      </c>
      <c r="H118" t="str">
        <f>INDEX(Table1[Diagnosis],MATCH(I118,'codeand diagnosis'!$A$2:$A$11,0))</f>
        <v>Dental examination with radiology</v>
      </c>
      <c r="I118" t="s">
        <v>37</v>
      </c>
      <c r="J118" t="str">
        <f>INDEX(Table1[ICD-10 Code],MATCH(Table2[[#This Row],[Treatment]],Table1[Treatment Type],0))</f>
        <v>Z01.2</v>
      </c>
      <c r="K118" t="s">
        <v>28</v>
      </c>
      <c r="L118" t="s">
        <v>38</v>
      </c>
      <c r="M118" t="s">
        <v>46</v>
      </c>
      <c r="N118">
        <f>Table2[[#This Row],[Total Paid]]+Table2[[#This Row],[Due]]</f>
        <v>350</v>
      </c>
      <c r="O118">
        <v>0</v>
      </c>
      <c r="P118">
        <v>150</v>
      </c>
      <c r="Q118">
        <v>200</v>
      </c>
      <c r="R118">
        <v>0</v>
      </c>
      <c r="S118">
        <v>0</v>
      </c>
      <c r="T118">
        <v>350</v>
      </c>
      <c r="U118">
        <v>0</v>
      </c>
      <c r="V118">
        <v>350</v>
      </c>
      <c r="W118" t="s">
        <v>30</v>
      </c>
      <c r="X118" s="6" t="s">
        <v>233</v>
      </c>
    </row>
    <row r="119" spans="1:24" hidden="1" x14ac:dyDescent="0.25">
      <c r="A119" t="s">
        <v>283</v>
      </c>
      <c r="B119" t="s">
        <v>284</v>
      </c>
      <c r="C119" t="s">
        <v>34</v>
      </c>
      <c r="D119">
        <v>19</v>
      </c>
      <c r="E119" t="s">
        <v>285</v>
      </c>
      <c r="F119" t="s">
        <v>25</v>
      </c>
      <c r="G119" t="s">
        <v>26</v>
      </c>
      <c r="H119" t="str">
        <f>INDEX(Table1[Diagnosis],MATCH(I119,'codeand diagnosis'!$A$2:$A$11,0))</f>
        <v>Missing teeth</v>
      </c>
      <c r="I119" t="s">
        <v>78</v>
      </c>
      <c r="J119" t="str">
        <f>INDEX(Table1[ICD-10 Code],MATCH(Table2[[#This Row],[Treatment]],Table1[Treatment Type],0))</f>
        <v>K08.1</v>
      </c>
      <c r="K119" t="s">
        <v>28</v>
      </c>
      <c r="L119" t="s">
        <v>38</v>
      </c>
      <c r="M119" t="s">
        <v>61</v>
      </c>
      <c r="N119">
        <f>Table2[[#This Row],[Total Paid]]+Table2[[#This Row],[Due]]</f>
        <v>19985</v>
      </c>
      <c r="O119">
        <v>19985</v>
      </c>
      <c r="P119">
        <v>0</v>
      </c>
      <c r="Q119">
        <v>0</v>
      </c>
      <c r="R119">
        <v>4090</v>
      </c>
      <c r="S119">
        <v>0</v>
      </c>
      <c r="T119">
        <v>19985</v>
      </c>
      <c r="U119">
        <v>0</v>
      </c>
      <c r="V119">
        <v>15895</v>
      </c>
      <c r="W119" t="s">
        <v>51</v>
      </c>
      <c r="X119" s="6" t="s">
        <v>233</v>
      </c>
    </row>
    <row r="120" spans="1:24" hidden="1" x14ac:dyDescent="0.25">
      <c r="A120" t="s">
        <v>286</v>
      </c>
      <c r="B120" t="s">
        <v>268</v>
      </c>
      <c r="C120" t="s">
        <v>34</v>
      </c>
      <c r="D120">
        <v>62</v>
      </c>
      <c r="E120" t="s">
        <v>285</v>
      </c>
      <c r="F120" t="s">
        <v>25</v>
      </c>
      <c r="G120" t="s">
        <v>26</v>
      </c>
      <c r="H120" t="str">
        <f>INDEX(Table1[Diagnosis],MATCH(I120,'codeand diagnosis'!$A$2:$A$11,0))</f>
        <v>Missing teeth</v>
      </c>
      <c r="I120" t="s">
        <v>78</v>
      </c>
      <c r="J120" t="str">
        <f>INDEX(Table1[ICD-10 Code],MATCH(Table2[[#This Row],[Treatment]],Table1[Treatment Type],0))</f>
        <v>K08.1</v>
      </c>
      <c r="K120" t="s">
        <v>28</v>
      </c>
      <c r="L120" t="s">
        <v>38</v>
      </c>
      <c r="M120" t="s">
        <v>29</v>
      </c>
      <c r="N120">
        <f>Table2[[#This Row],[Total Paid]]+Table2[[#This Row],[Due]]</f>
        <v>24038</v>
      </c>
      <c r="O120">
        <v>24038</v>
      </c>
      <c r="P120">
        <v>0</v>
      </c>
      <c r="Q120">
        <v>0</v>
      </c>
      <c r="R120">
        <v>6510</v>
      </c>
      <c r="S120">
        <v>0</v>
      </c>
      <c r="T120">
        <v>24038</v>
      </c>
      <c r="U120">
        <v>0</v>
      </c>
      <c r="V120">
        <v>17528</v>
      </c>
      <c r="W120" t="s">
        <v>42</v>
      </c>
      <c r="X120" s="6" t="s">
        <v>233</v>
      </c>
    </row>
    <row r="121" spans="1:24" hidden="1" x14ac:dyDescent="0.25">
      <c r="A121" t="s">
        <v>287</v>
      </c>
      <c r="B121" t="s">
        <v>173</v>
      </c>
      <c r="C121" t="s">
        <v>24</v>
      </c>
      <c r="D121">
        <v>6</v>
      </c>
      <c r="E121" t="s">
        <v>288</v>
      </c>
      <c r="F121" t="s">
        <v>35</v>
      </c>
      <c r="G121" t="s">
        <v>26</v>
      </c>
      <c r="H121" t="str">
        <f>INDEX(Table1[Diagnosis],MATCH(I121,'codeand diagnosis'!$A$2:$A$11,0))</f>
        <v>Dental examination with radiology</v>
      </c>
      <c r="I121" t="s">
        <v>37</v>
      </c>
      <c r="J121" t="str">
        <f>INDEX(Table1[ICD-10 Code],MATCH(Table2[[#This Row],[Treatment]],Table1[Treatment Type],0))</f>
        <v>Z01.2</v>
      </c>
      <c r="K121" t="s">
        <v>28</v>
      </c>
      <c r="L121" t="s">
        <v>38</v>
      </c>
      <c r="M121" t="s">
        <v>29</v>
      </c>
      <c r="N121">
        <f>Table2[[#This Row],[Total Paid]]+Table2[[#This Row],[Due]]</f>
        <v>210</v>
      </c>
      <c r="O121">
        <v>0</v>
      </c>
      <c r="P121">
        <v>150</v>
      </c>
      <c r="Q121">
        <v>200</v>
      </c>
      <c r="R121">
        <v>0</v>
      </c>
      <c r="S121">
        <v>140</v>
      </c>
      <c r="T121">
        <v>210</v>
      </c>
      <c r="U121">
        <v>0</v>
      </c>
      <c r="V121">
        <v>210</v>
      </c>
      <c r="W121" t="s">
        <v>30</v>
      </c>
      <c r="X121" s="6" t="s">
        <v>233</v>
      </c>
    </row>
    <row r="122" spans="1:24" hidden="1" x14ac:dyDescent="0.25">
      <c r="A122" t="s">
        <v>289</v>
      </c>
      <c r="B122" t="s">
        <v>290</v>
      </c>
      <c r="C122" t="s">
        <v>34</v>
      </c>
      <c r="D122">
        <v>27</v>
      </c>
      <c r="E122" t="s">
        <v>288</v>
      </c>
      <c r="F122" t="s">
        <v>50</v>
      </c>
      <c r="G122" t="s">
        <v>26</v>
      </c>
      <c r="H122" t="str">
        <f>INDEX(Table1[Diagnosis],MATCH(I122,'codeand diagnosis'!$A$2:$A$11,0))</f>
        <v>Dental examination with radiology</v>
      </c>
      <c r="I122" t="s">
        <v>37</v>
      </c>
      <c r="J122" t="str">
        <f>INDEX(Table1[ICD-10 Code],MATCH(Table2[[#This Row],[Treatment]],Table1[Treatment Type],0))</f>
        <v>Z01.2</v>
      </c>
      <c r="K122" t="s">
        <v>28</v>
      </c>
      <c r="L122" t="s">
        <v>38</v>
      </c>
      <c r="M122" t="s">
        <v>46</v>
      </c>
      <c r="N122">
        <f>Table2[[#This Row],[Total Paid]]+Table2[[#This Row],[Due]]</f>
        <v>210</v>
      </c>
      <c r="O122">
        <v>0</v>
      </c>
      <c r="P122">
        <v>150</v>
      </c>
      <c r="Q122">
        <v>200</v>
      </c>
      <c r="R122">
        <v>0</v>
      </c>
      <c r="S122">
        <v>140</v>
      </c>
      <c r="T122">
        <v>210</v>
      </c>
      <c r="U122">
        <v>0</v>
      </c>
      <c r="V122">
        <v>210</v>
      </c>
      <c r="W122" t="s">
        <v>51</v>
      </c>
      <c r="X122" s="6" t="s">
        <v>233</v>
      </c>
    </row>
    <row r="123" spans="1:24" hidden="1" x14ac:dyDescent="0.25">
      <c r="A123" t="s">
        <v>291</v>
      </c>
      <c r="B123" t="s">
        <v>222</v>
      </c>
      <c r="C123" t="s">
        <v>24</v>
      </c>
      <c r="D123">
        <v>67</v>
      </c>
      <c r="E123" s="1">
        <v>44930</v>
      </c>
      <c r="F123" t="s">
        <v>54</v>
      </c>
      <c r="G123" t="s">
        <v>36</v>
      </c>
      <c r="H123" t="str">
        <f>INDEX(Table1[Diagnosis],MATCH(I123,'codeand diagnosis'!$A$2:$A$11,0))</f>
        <v>Loss of teeth</v>
      </c>
      <c r="I123" t="s">
        <v>68</v>
      </c>
      <c r="J123" t="str">
        <f>INDEX(Table1[ICD-10 Code],MATCH(Table2[[#This Row],[Treatment]],Table1[Treatment Type],0))</f>
        <v>K08.1</v>
      </c>
      <c r="K123" t="s">
        <v>28</v>
      </c>
      <c r="L123" t="s">
        <v>28</v>
      </c>
      <c r="M123" t="s">
        <v>46</v>
      </c>
      <c r="N123">
        <f>Table2[[#This Row],[Total Paid]]+Table2[[#This Row],[Due]]</f>
        <v>891</v>
      </c>
      <c r="O123">
        <v>991</v>
      </c>
      <c r="P123">
        <v>0</v>
      </c>
      <c r="Q123">
        <v>0</v>
      </c>
      <c r="R123">
        <v>0</v>
      </c>
      <c r="S123">
        <v>100</v>
      </c>
      <c r="T123">
        <v>891</v>
      </c>
      <c r="U123">
        <v>0</v>
      </c>
      <c r="V123">
        <v>891</v>
      </c>
      <c r="W123" t="s">
        <v>47</v>
      </c>
      <c r="X123" s="6" t="s">
        <v>292</v>
      </c>
    </row>
    <row r="124" spans="1:24" hidden="1" x14ac:dyDescent="0.25">
      <c r="A124" t="s">
        <v>293</v>
      </c>
      <c r="B124" t="s">
        <v>294</v>
      </c>
      <c r="C124" t="s">
        <v>34</v>
      </c>
      <c r="D124">
        <v>35</v>
      </c>
      <c r="E124" s="1">
        <v>44930</v>
      </c>
      <c r="F124" t="s">
        <v>50</v>
      </c>
      <c r="G124" t="s">
        <v>26</v>
      </c>
      <c r="H124" t="str">
        <f>INDEX(Table1[Diagnosis],MATCH(I124,'codeand diagnosis'!$A$2:$A$11,0))</f>
        <v>Malocclusion</v>
      </c>
      <c r="I124" t="s">
        <v>89</v>
      </c>
      <c r="J124" t="str">
        <f>INDEX(Table1[ICD-10 Code],MATCH(Table2[[#This Row],[Treatment]],Table1[Treatment Type],0))</f>
        <v>K07.4</v>
      </c>
      <c r="K124" t="s">
        <v>28</v>
      </c>
      <c r="L124" t="s">
        <v>28</v>
      </c>
      <c r="M124" t="s">
        <v>29</v>
      </c>
      <c r="N124">
        <f>Table2[[#This Row],[Total Paid]]+Table2[[#This Row],[Due]]</f>
        <v>11802</v>
      </c>
      <c r="O124">
        <v>12102</v>
      </c>
      <c r="P124">
        <v>0</v>
      </c>
      <c r="Q124">
        <v>0</v>
      </c>
      <c r="R124">
        <v>3240</v>
      </c>
      <c r="S124">
        <v>300</v>
      </c>
      <c r="T124">
        <v>11802</v>
      </c>
      <c r="U124">
        <v>0</v>
      </c>
      <c r="V124">
        <v>8562</v>
      </c>
      <c r="W124" t="s">
        <v>51</v>
      </c>
      <c r="X124" s="6" t="s">
        <v>292</v>
      </c>
    </row>
    <row r="125" spans="1:24" hidden="1" x14ac:dyDescent="0.25">
      <c r="A125" t="s">
        <v>295</v>
      </c>
      <c r="B125" t="s">
        <v>296</v>
      </c>
      <c r="C125" t="s">
        <v>24</v>
      </c>
      <c r="D125">
        <v>69</v>
      </c>
      <c r="E125" s="1">
        <v>44989</v>
      </c>
      <c r="F125" t="s">
        <v>88</v>
      </c>
      <c r="G125" t="s">
        <v>36</v>
      </c>
      <c r="H125" t="str">
        <f>INDEX(Table1[Diagnosis],MATCH(I125,'codeand diagnosis'!$A$2:$A$11,0))</f>
        <v>Loss of teeth</v>
      </c>
      <c r="I125" t="s">
        <v>68</v>
      </c>
      <c r="J125" t="str">
        <f>INDEX(Table1[ICD-10 Code],MATCH(Table2[[#This Row],[Treatment]],Table1[Treatment Type],0))</f>
        <v>K08.1</v>
      </c>
      <c r="K125" t="s">
        <v>28</v>
      </c>
      <c r="L125" t="s">
        <v>38</v>
      </c>
      <c r="M125" t="s">
        <v>29</v>
      </c>
      <c r="N125">
        <f>Table2[[#This Row],[Total Paid]]+Table2[[#This Row],[Due]]</f>
        <v>800</v>
      </c>
      <c r="O125">
        <v>800</v>
      </c>
      <c r="P125">
        <v>0</v>
      </c>
      <c r="Q125">
        <v>0</v>
      </c>
      <c r="R125">
        <v>0</v>
      </c>
      <c r="S125">
        <v>0</v>
      </c>
      <c r="T125">
        <v>800</v>
      </c>
      <c r="U125">
        <v>0</v>
      </c>
      <c r="V125">
        <v>800</v>
      </c>
      <c r="W125" t="s">
        <v>51</v>
      </c>
      <c r="X125" s="6" t="s">
        <v>292</v>
      </c>
    </row>
    <row r="126" spans="1:24" hidden="1" x14ac:dyDescent="0.25">
      <c r="A126" t="s">
        <v>297</v>
      </c>
      <c r="B126" t="s">
        <v>63</v>
      </c>
      <c r="C126" t="s">
        <v>24</v>
      </c>
      <c r="D126">
        <v>58</v>
      </c>
      <c r="E126" s="1">
        <v>44989</v>
      </c>
      <c r="F126" t="s">
        <v>35</v>
      </c>
      <c r="G126" t="s">
        <v>26</v>
      </c>
      <c r="H126" t="str">
        <f>INDEX(Table1[Diagnosis],MATCH(I126,'codeand diagnosis'!$A$2:$A$11,0))</f>
        <v>Dental examination</v>
      </c>
      <c r="I126" t="s">
        <v>45</v>
      </c>
      <c r="J126" t="str">
        <f>INDEX(Table1[ICD-10 Code],MATCH(Table2[[#This Row],[Treatment]],Table1[Treatment Type],0))</f>
        <v>Z01.2</v>
      </c>
      <c r="K126" t="s">
        <v>28</v>
      </c>
      <c r="L126" t="s">
        <v>28</v>
      </c>
      <c r="M126" t="s">
        <v>29</v>
      </c>
      <c r="N126">
        <f>Table2[[#This Row],[Total Paid]]+Table2[[#This Row],[Due]]</f>
        <v>200</v>
      </c>
      <c r="O126">
        <v>0</v>
      </c>
      <c r="P126">
        <v>0</v>
      </c>
      <c r="Q126">
        <v>200</v>
      </c>
      <c r="R126">
        <v>0</v>
      </c>
      <c r="S126">
        <v>0</v>
      </c>
      <c r="T126">
        <v>200</v>
      </c>
      <c r="U126">
        <v>0</v>
      </c>
      <c r="V126">
        <v>200</v>
      </c>
      <c r="W126" t="s">
        <v>51</v>
      </c>
      <c r="X126" s="6" t="s">
        <v>292</v>
      </c>
    </row>
    <row r="127" spans="1:24" hidden="1" x14ac:dyDescent="0.25">
      <c r="A127" t="s">
        <v>298</v>
      </c>
      <c r="B127" t="s">
        <v>121</v>
      </c>
      <c r="C127" t="s">
        <v>34</v>
      </c>
      <c r="D127">
        <v>34</v>
      </c>
      <c r="E127" s="1">
        <v>44989</v>
      </c>
      <c r="F127" t="s">
        <v>104</v>
      </c>
      <c r="G127" t="s">
        <v>26</v>
      </c>
      <c r="H127" t="str">
        <f>INDEX(Table1[Diagnosis],MATCH(I127,'codeand diagnosis'!$A$2:$A$11,0))</f>
        <v>Dental examination</v>
      </c>
      <c r="I127" t="s">
        <v>45</v>
      </c>
      <c r="J127" t="str">
        <f>INDEX(Table1[ICD-10 Code],MATCH(Table2[[#This Row],[Treatment]],Table1[Treatment Type],0))</f>
        <v>Z01.2</v>
      </c>
      <c r="K127" t="s">
        <v>28</v>
      </c>
      <c r="L127" t="s">
        <v>28</v>
      </c>
      <c r="M127" t="s">
        <v>29</v>
      </c>
      <c r="N127">
        <f>Table2[[#This Row],[Total Paid]]+Table2[[#This Row],[Due]]</f>
        <v>200</v>
      </c>
      <c r="O127">
        <v>0</v>
      </c>
      <c r="P127">
        <v>0</v>
      </c>
      <c r="Q127">
        <v>200</v>
      </c>
      <c r="R127">
        <v>0</v>
      </c>
      <c r="S127">
        <v>0</v>
      </c>
      <c r="T127">
        <v>200</v>
      </c>
      <c r="U127">
        <v>0</v>
      </c>
      <c r="V127">
        <v>200</v>
      </c>
      <c r="W127" t="s">
        <v>51</v>
      </c>
      <c r="X127" s="6" t="s">
        <v>292</v>
      </c>
    </row>
    <row r="128" spans="1:24" hidden="1" x14ac:dyDescent="0.25">
      <c r="A128" t="s">
        <v>299</v>
      </c>
      <c r="B128" t="s">
        <v>106</v>
      </c>
      <c r="C128" t="s">
        <v>24</v>
      </c>
      <c r="D128">
        <v>50</v>
      </c>
      <c r="E128" s="1">
        <v>45020</v>
      </c>
      <c r="F128" t="s">
        <v>50</v>
      </c>
      <c r="G128" t="s">
        <v>26</v>
      </c>
      <c r="H128" t="str">
        <f>INDEX(Table1[Diagnosis],MATCH(I128,'codeand diagnosis'!$A$2:$A$11,0))</f>
        <v>Dental examination</v>
      </c>
      <c r="I128" t="s">
        <v>45</v>
      </c>
      <c r="J128" t="str">
        <f>INDEX(Table1[ICD-10 Code],MATCH(Table2[[#This Row],[Treatment]],Table1[Treatment Type],0))</f>
        <v>Z01.2</v>
      </c>
      <c r="K128" t="s">
        <v>28</v>
      </c>
      <c r="L128" t="s">
        <v>28</v>
      </c>
      <c r="M128" t="s">
        <v>29</v>
      </c>
      <c r="N128">
        <f>Table2[[#This Row],[Total Paid]]+Table2[[#This Row],[Due]]</f>
        <v>200</v>
      </c>
      <c r="O128">
        <v>0</v>
      </c>
      <c r="P128">
        <v>0</v>
      </c>
      <c r="Q128">
        <v>200</v>
      </c>
      <c r="R128">
        <v>0</v>
      </c>
      <c r="S128">
        <v>0</v>
      </c>
      <c r="T128">
        <v>200</v>
      </c>
      <c r="U128">
        <v>0</v>
      </c>
      <c r="V128">
        <v>200</v>
      </c>
      <c r="W128" t="s">
        <v>51</v>
      </c>
      <c r="X128" s="6" t="s">
        <v>292</v>
      </c>
    </row>
    <row r="129" spans="1:24" hidden="1" x14ac:dyDescent="0.25">
      <c r="A129" t="s">
        <v>300</v>
      </c>
      <c r="B129" t="s">
        <v>80</v>
      </c>
      <c r="C129" t="s">
        <v>34</v>
      </c>
      <c r="D129">
        <v>62</v>
      </c>
      <c r="E129" s="1">
        <v>45020</v>
      </c>
      <c r="F129" t="s">
        <v>35</v>
      </c>
      <c r="G129" t="s">
        <v>26</v>
      </c>
      <c r="H129" t="str">
        <f>INDEX(Table1[Diagnosis],MATCH(I129,'codeand diagnosis'!$A$2:$A$11,0))</f>
        <v>Gingivitis</v>
      </c>
      <c r="I129" t="s">
        <v>27</v>
      </c>
      <c r="J129" t="str">
        <f>INDEX(Table1[ICD-10 Code],MATCH(Table2[[#This Row],[Treatment]],Table1[Treatment Type],0))</f>
        <v>K05.10</v>
      </c>
      <c r="K129" t="s">
        <v>28</v>
      </c>
      <c r="L129" t="s">
        <v>28</v>
      </c>
      <c r="M129" t="s">
        <v>29</v>
      </c>
      <c r="N129">
        <f>Table2[[#This Row],[Total Paid]]+Table2[[#This Row],[Due]]</f>
        <v>267.60000000000002</v>
      </c>
      <c r="O129">
        <v>446</v>
      </c>
      <c r="P129">
        <v>0</v>
      </c>
      <c r="Q129">
        <v>0</v>
      </c>
      <c r="R129">
        <v>0</v>
      </c>
      <c r="S129">
        <v>178.4</v>
      </c>
      <c r="T129">
        <v>267.60000000000002</v>
      </c>
      <c r="U129">
        <v>0</v>
      </c>
      <c r="V129">
        <v>267.60000000000002</v>
      </c>
      <c r="W129" t="s">
        <v>30</v>
      </c>
      <c r="X129" s="6" t="s">
        <v>292</v>
      </c>
    </row>
    <row r="130" spans="1:24" x14ac:dyDescent="0.25">
      <c r="A130" t="s">
        <v>301</v>
      </c>
      <c r="B130" t="s">
        <v>151</v>
      </c>
      <c r="C130" t="s">
        <v>24</v>
      </c>
      <c r="D130">
        <v>5</v>
      </c>
      <c r="E130" s="1">
        <v>45050</v>
      </c>
      <c r="F130" t="s">
        <v>35</v>
      </c>
      <c r="G130" t="s">
        <v>26</v>
      </c>
      <c r="H130" t="str">
        <f>INDEX(Table1[Diagnosis],MATCH(I130,'codeand diagnosis'!$A$2:$A$11,0))</f>
        <v>Dental examination with radiology</v>
      </c>
      <c r="I130" t="s">
        <v>37</v>
      </c>
      <c r="J130" t="str">
        <f>INDEX(Table1[ICD-10 Code],MATCH(Table2[[#This Row],[Treatment]],Table1[Treatment Type],0))</f>
        <v>Z01.2</v>
      </c>
      <c r="K130" t="s">
        <v>28</v>
      </c>
      <c r="L130" t="s">
        <v>38</v>
      </c>
      <c r="M130" t="s">
        <v>29</v>
      </c>
      <c r="N130">
        <f>Table2[[#This Row],[Total Paid]]+Table2[[#This Row],[Due]]</f>
        <v>350</v>
      </c>
      <c r="O130">
        <v>0</v>
      </c>
      <c r="P130">
        <v>150</v>
      </c>
      <c r="Q130">
        <v>200</v>
      </c>
      <c r="R130">
        <v>0</v>
      </c>
      <c r="S130">
        <v>0</v>
      </c>
      <c r="T130">
        <v>350</v>
      </c>
      <c r="U130">
        <v>0</v>
      </c>
      <c r="V130">
        <v>350</v>
      </c>
      <c r="W130" t="s">
        <v>51</v>
      </c>
      <c r="X130" s="6" t="s">
        <v>292</v>
      </c>
    </row>
    <row r="131" spans="1:24" hidden="1" x14ac:dyDescent="0.25">
      <c r="A131" t="s">
        <v>302</v>
      </c>
      <c r="B131" t="s">
        <v>131</v>
      </c>
      <c r="C131" t="s">
        <v>34</v>
      </c>
      <c r="D131">
        <v>11</v>
      </c>
      <c r="E131" s="1">
        <v>45081</v>
      </c>
      <c r="F131" t="s">
        <v>50</v>
      </c>
      <c r="G131" t="s">
        <v>36</v>
      </c>
      <c r="H131" t="str">
        <f>INDEX(Table1[Diagnosis],MATCH(I131,'codeand diagnosis'!$A$2:$A$11,0))</f>
        <v>Dental examination</v>
      </c>
      <c r="I131" t="s">
        <v>45</v>
      </c>
      <c r="J131" t="str">
        <f>INDEX(Table1[ICD-10 Code],MATCH(Table2[[#This Row],[Treatment]],Table1[Treatment Type],0))</f>
        <v>Z01.2</v>
      </c>
      <c r="K131" t="s">
        <v>28</v>
      </c>
      <c r="L131" t="s">
        <v>28</v>
      </c>
      <c r="M131" t="s">
        <v>61</v>
      </c>
      <c r="N131">
        <f>Table2[[#This Row],[Total Paid]]+Table2[[#This Row],[Due]]</f>
        <v>120</v>
      </c>
      <c r="O131">
        <v>0</v>
      </c>
      <c r="P131">
        <v>0</v>
      </c>
      <c r="Q131">
        <v>200</v>
      </c>
      <c r="R131">
        <v>0</v>
      </c>
      <c r="S131">
        <v>80</v>
      </c>
      <c r="T131">
        <v>120</v>
      </c>
      <c r="U131">
        <v>0</v>
      </c>
      <c r="V131">
        <v>120</v>
      </c>
      <c r="W131" t="s">
        <v>47</v>
      </c>
      <c r="X131" s="6" t="s">
        <v>292</v>
      </c>
    </row>
    <row r="132" spans="1:24" hidden="1" x14ac:dyDescent="0.25">
      <c r="A132" t="s">
        <v>303</v>
      </c>
      <c r="B132" t="s">
        <v>304</v>
      </c>
      <c r="C132" t="s">
        <v>34</v>
      </c>
      <c r="D132">
        <v>41</v>
      </c>
      <c r="E132" s="1">
        <v>45081</v>
      </c>
      <c r="F132" t="s">
        <v>88</v>
      </c>
      <c r="G132" t="s">
        <v>26</v>
      </c>
      <c r="H132" t="str">
        <f>INDEX(Table1[Diagnosis],MATCH(I132,'codeand diagnosis'!$A$2:$A$11,0))</f>
        <v>Dental examination</v>
      </c>
      <c r="I132" t="s">
        <v>45</v>
      </c>
      <c r="J132" t="str">
        <f>INDEX(Table1[ICD-10 Code],MATCH(Table2[[#This Row],[Treatment]],Table1[Treatment Type],0))</f>
        <v>Z01.2</v>
      </c>
      <c r="K132" t="s">
        <v>28</v>
      </c>
      <c r="L132" t="s">
        <v>28</v>
      </c>
      <c r="M132" t="s">
        <v>29</v>
      </c>
      <c r="N132">
        <f>Table2[[#This Row],[Total Paid]]+Table2[[#This Row],[Due]]</f>
        <v>200</v>
      </c>
      <c r="O132">
        <v>0</v>
      </c>
      <c r="P132">
        <v>0</v>
      </c>
      <c r="Q132">
        <v>200</v>
      </c>
      <c r="R132">
        <v>0</v>
      </c>
      <c r="S132">
        <v>0</v>
      </c>
      <c r="T132">
        <v>200</v>
      </c>
      <c r="U132">
        <v>0</v>
      </c>
      <c r="V132">
        <v>200</v>
      </c>
      <c r="W132" t="s">
        <v>42</v>
      </c>
      <c r="X132" s="6" t="s">
        <v>292</v>
      </c>
    </row>
    <row r="133" spans="1:24" hidden="1" x14ac:dyDescent="0.25">
      <c r="A133" t="s">
        <v>305</v>
      </c>
      <c r="B133" t="s">
        <v>306</v>
      </c>
      <c r="C133" t="s">
        <v>24</v>
      </c>
      <c r="D133">
        <v>56</v>
      </c>
      <c r="E133" s="1">
        <v>45111</v>
      </c>
      <c r="F133" t="s">
        <v>50</v>
      </c>
      <c r="G133" t="s">
        <v>26</v>
      </c>
      <c r="H133" t="str">
        <f>INDEX(Table1[Diagnosis],MATCH(I133,'codeand diagnosis'!$A$2:$A$11,0))</f>
        <v>Dental examination with radiology</v>
      </c>
      <c r="I133" t="s">
        <v>37</v>
      </c>
      <c r="J133" t="str">
        <f>INDEX(Table1[ICD-10 Code],MATCH(Table2[[#This Row],[Treatment]],Table1[Treatment Type],0))</f>
        <v>Z01.2</v>
      </c>
      <c r="K133" t="s">
        <v>28</v>
      </c>
      <c r="L133" t="s">
        <v>38</v>
      </c>
      <c r="M133" t="s">
        <v>29</v>
      </c>
      <c r="N133">
        <f>Table2[[#This Row],[Total Paid]]+Table2[[#This Row],[Due]]</f>
        <v>350</v>
      </c>
      <c r="O133">
        <v>0</v>
      </c>
      <c r="P133">
        <v>150</v>
      </c>
      <c r="Q133">
        <v>200</v>
      </c>
      <c r="R133">
        <v>0</v>
      </c>
      <c r="S133">
        <v>0</v>
      </c>
      <c r="T133">
        <v>350</v>
      </c>
      <c r="U133">
        <v>0</v>
      </c>
      <c r="V133">
        <v>350</v>
      </c>
      <c r="W133" t="s">
        <v>51</v>
      </c>
      <c r="X133" s="6" t="s">
        <v>292</v>
      </c>
    </row>
    <row r="134" spans="1:24" hidden="1" x14ac:dyDescent="0.25">
      <c r="A134" t="s">
        <v>307</v>
      </c>
      <c r="B134" t="s">
        <v>137</v>
      </c>
      <c r="C134" t="s">
        <v>24</v>
      </c>
      <c r="D134">
        <v>62</v>
      </c>
      <c r="E134" s="1">
        <v>45142</v>
      </c>
      <c r="F134" t="s">
        <v>35</v>
      </c>
      <c r="G134" t="s">
        <v>26</v>
      </c>
      <c r="H134" t="str">
        <f>INDEX(Table1[Diagnosis],MATCH(I134,'codeand diagnosis'!$A$2:$A$11,0))</f>
        <v>Missing teeth</v>
      </c>
      <c r="I134" t="s">
        <v>78</v>
      </c>
      <c r="J134" t="str">
        <f>INDEX(Table1[ICD-10 Code],MATCH(Table2[[#This Row],[Treatment]],Table1[Treatment Type],0))</f>
        <v>K08.1</v>
      </c>
      <c r="K134" t="s">
        <v>28</v>
      </c>
      <c r="L134" t="s">
        <v>38</v>
      </c>
      <c r="M134" t="s">
        <v>29</v>
      </c>
      <c r="N134">
        <f>Table2[[#This Row],[Total Paid]]+Table2[[#This Row],[Due]]</f>
        <v>21752</v>
      </c>
      <c r="O134">
        <v>21752</v>
      </c>
      <c r="P134">
        <v>0</v>
      </c>
      <c r="Q134">
        <v>0</v>
      </c>
      <c r="R134">
        <v>5990</v>
      </c>
      <c r="S134">
        <v>0</v>
      </c>
      <c r="T134">
        <v>21752</v>
      </c>
      <c r="U134">
        <v>0</v>
      </c>
      <c r="V134">
        <v>15762</v>
      </c>
      <c r="W134" t="s">
        <v>51</v>
      </c>
      <c r="X134" s="6" t="s">
        <v>292</v>
      </c>
    </row>
    <row r="135" spans="1:24" hidden="1" x14ac:dyDescent="0.25">
      <c r="A135" t="s">
        <v>308</v>
      </c>
      <c r="B135" t="s">
        <v>204</v>
      </c>
      <c r="C135" t="s">
        <v>34</v>
      </c>
      <c r="D135">
        <v>23</v>
      </c>
      <c r="E135" s="1">
        <v>45203</v>
      </c>
      <c r="F135" t="s">
        <v>50</v>
      </c>
      <c r="G135" t="s">
        <v>26</v>
      </c>
      <c r="H135" t="str">
        <f>INDEX(Table1[Diagnosis],MATCH(I135,'codeand diagnosis'!$A$2:$A$11,0))</f>
        <v>Missing teeth</v>
      </c>
      <c r="I135" t="s">
        <v>78</v>
      </c>
      <c r="J135" t="str">
        <f>INDEX(Table1[ICD-10 Code],MATCH(Table2[[#This Row],[Treatment]],Table1[Treatment Type],0))</f>
        <v>K08.1</v>
      </c>
      <c r="K135" t="s">
        <v>28</v>
      </c>
      <c r="L135" t="s">
        <v>38</v>
      </c>
      <c r="M135" t="s">
        <v>29</v>
      </c>
      <c r="N135">
        <f>Table2[[#This Row],[Total Paid]]+Table2[[#This Row],[Due]]</f>
        <v>21926</v>
      </c>
      <c r="O135">
        <v>21926</v>
      </c>
      <c r="P135">
        <v>0</v>
      </c>
      <c r="Q135">
        <v>0</v>
      </c>
      <c r="R135">
        <v>7050</v>
      </c>
      <c r="S135">
        <v>0</v>
      </c>
      <c r="T135">
        <v>21926</v>
      </c>
      <c r="U135">
        <v>0</v>
      </c>
      <c r="V135">
        <v>14876</v>
      </c>
      <c r="W135" t="s">
        <v>51</v>
      </c>
      <c r="X135" s="6" t="s">
        <v>292</v>
      </c>
    </row>
    <row r="136" spans="1:24" hidden="1" x14ac:dyDescent="0.25">
      <c r="A136" t="s">
        <v>309</v>
      </c>
      <c r="B136" t="s">
        <v>148</v>
      </c>
      <c r="C136" t="s">
        <v>24</v>
      </c>
      <c r="D136">
        <v>30</v>
      </c>
      <c r="E136" s="1">
        <v>45203</v>
      </c>
      <c r="F136" t="s">
        <v>35</v>
      </c>
      <c r="G136" t="s">
        <v>26</v>
      </c>
      <c r="H136" t="str">
        <f>INDEX(Table1[Diagnosis],MATCH(I136,'codeand diagnosis'!$A$2:$A$11,0))</f>
        <v>Dental examination</v>
      </c>
      <c r="I136" t="s">
        <v>45</v>
      </c>
      <c r="J136" t="str">
        <f>INDEX(Table1[ICD-10 Code],MATCH(Table2[[#This Row],[Treatment]],Table1[Treatment Type],0))</f>
        <v>Z01.2</v>
      </c>
      <c r="K136" t="s">
        <v>28</v>
      </c>
      <c r="L136" t="s">
        <v>28</v>
      </c>
      <c r="M136" t="s">
        <v>29</v>
      </c>
      <c r="N136">
        <f>Table2[[#This Row],[Total Paid]]+Table2[[#This Row],[Due]]</f>
        <v>120</v>
      </c>
      <c r="O136">
        <v>0</v>
      </c>
      <c r="P136">
        <v>0</v>
      </c>
      <c r="Q136">
        <v>200</v>
      </c>
      <c r="R136">
        <v>0</v>
      </c>
      <c r="S136">
        <v>80</v>
      </c>
      <c r="T136">
        <v>120</v>
      </c>
      <c r="U136">
        <v>0</v>
      </c>
      <c r="V136">
        <v>120</v>
      </c>
      <c r="W136" t="s">
        <v>51</v>
      </c>
      <c r="X136" s="6" t="s">
        <v>292</v>
      </c>
    </row>
    <row r="137" spans="1:24" hidden="1" x14ac:dyDescent="0.25">
      <c r="A137" t="s">
        <v>310</v>
      </c>
      <c r="B137" t="s">
        <v>268</v>
      </c>
      <c r="C137" t="s">
        <v>34</v>
      </c>
      <c r="D137">
        <v>79</v>
      </c>
      <c r="E137" s="1">
        <v>45234</v>
      </c>
      <c r="F137" t="s">
        <v>35</v>
      </c>
      <c r="G137" t="s">
        <v>36</v>
      </c>
      <c r="H137" t="str">
        <f>INDEX(Table1[Diagnosis],MATCH(I137,'codeand diagnosis'!$A$2:$A$11,0))</f>
        <v>Dental examination</v>
      </c>
      <c r="I137" t="s">
        <v>45</v>
      </c>
      <c r="J137" t="str">
        <f>INDEX(Table1[ICD-10 Code],MATCH(Table2[[#This Row],[Treatment]],Table1[Treatment Type],0))</f>
        <v>Z01.2</v>
      </c>
      <c r="K137" t="s">
        <v>28</v>
      </c>
      <c r="L137" t="s">
        <v>28</v>
      </c>
      <c r="M137" t="s">
        <v>29</v>
      </c>
      <c r="N137">
        <f>Table2[[#This Row],[Total Paid]]+Table2[[#This Row],[Due]]</f>
        <v>200</v>
      </c>
      <c r="O137">
        <v>0</v>
      </c>
      <c r="P137">
        <v>0</v>
      </c>
      <c r="Q137">
        <v>200</v>
      </c>
      <c r="R137">
        <v>0</v>
      </c>
      <c r="S137">
        <v>0</v>
      </c>
      <c r="T137">
        <v>200</v>
      </c>
      <c r="U137">
        <v>0</v>
      </c>
      <c r="V137">
        <v>200</v>
      </c>
      <c r="W137" t="s">
        <v>42</v>
      </c>
      <c r="X137" s="6" t="s">
        <v>292</v>
      </c>
    </row>
    <row r="138" spans="1:24" hidden="1" x14ac:dyDescent="0.25">
      <c r="A138" t="s">
        <v>311</v>
      </c>
      <c r="B138" t="s">
        <v>141</v>
      </c>
      <c r="C138" t="s">
        <v>34</v>
      </c>
      <c r="D138">
        <v>39</v>
      </c>
      <c r="E138" s="1">
        <v>45264</v>
      </c>
      <c r="F138" t="s">
        <v>50</v>
      </c>
      <c r="G138" t="s">
        <v>26</v>
      </c>
      <c r="H138" t="str">
        <f>INDEX(Table1[Diagnosis],MATCH(I138,'codeand diagnosis'!$A$2:$A$11,0))</f>
        <v>Dental examination</v>
      </c>
      <c r="I138" t="s">
        <v>45</v>
      </c>
      <c r="J138" t="str">
        <f>INDEX(Table1[ICD-10 Code],MATCH(Table2[[#This Row],[Treatment]],Table1[Treatment Type],0))</f>
        <v>Z01.2</v>
      </c>
      <c r="K138" t="s">
        <v>28</v>
      </c>
      <c r="L138" t="s">
        <v>28</v>
      </c>
      <c r="M138" t="s">
        <v>29</v>
      </c>
      <c r="N138">
        <f>Table2[[#This Row],[Total Paid]]+Table2[[#This Row],[Due]]</f>
        <v>200</v>
      </c>
      <c r="O138">
        <v>0</v>
      </c>
      <c r="P138">
        <v>0</v>
      </c>
      <c r="Q138">
        <v>200</v>
      </c>
      <c r="R138">
        <v>0</v>
      </c>
      <c r="S138">
        <v>0</v>
      </c>
      <c r="T138">
        <v>200</v>
      </c>
      <c r="U138">
        <v>0</v>
      </c>
      <c r="V138">
        <v>200</v>
      </c>
      <c r="W138" t="s">
        <v>51</v>
      </c>
      <c r="X138" s="6" t="s">
        <v>292</v>
      </c>
    </row>
    <row r="139" spans="1:24" hidden="1" x14ac:dyDescent="0.25">
      <c r="A139" t="s">
        <v>312</v>
      </c>
      <c r="B139" t="s">
        <v>118</v>
      </c>
      <c r="C139" t="s">
        <v>24</v>
      </c>
      <c r="D139">
        <v>45</v>
      </c>
      <c r="E139" s="1">
        <v>45264</v>
      </c>
      <c r="F139" t="s">
        <v>50</v>
      </c>
      <c r="G139" t="s">
        <v>26</v>
      </c>
      <c r="H139" t="str">
        <f>INDEX(Table1[Diagnosis],MATCH(I139,'codeand diagnosis'!$A$2:$A$11,0))</f>
        <v>Malocclusion</v>
      </c>
      <c r="I139" t="s">
        <v>89</v>
      </c>
      <c r="J139" t="str">
        <f>INDEX(Table1[ICD-10 Code],MATCH(Table2[[#This Row],[Treatment]],Table1[Treatment Type],0))</f>
        <v>K07.4</v>
      </c>
      <c r="K139" t="s">
        <v>28</v>
      </c>
      <c r="L139" t="s">
        <v>38</v>
      </c>
      <c r="M139" t="s">
        <v>29</v>
      </c>
      <c r="N139">
        <f>Table2[[#This Row],[Total Paid]]+Table2[[#This Row],[Due]]</f>
        <v>15636</v>
      </c>
      <c r="O139">
        <v>15636</v>
      </c>
      <c r="P139">
        <v>0</v>
      </c>
      <c r="Q139">
        <v>0</v>
      </c>
      <c r="R139">
        <v>3200</v>
      </c>
      <c r="S139">
        <v>0</v>
      </c>
      <c r="T139">
        <v>15636</v>
      </c>
      <c r="U139">
        <v>0</v>
      </c>
      <c r="V139">
        <v>12436</v>
      </c>
      <c r="W139" t="s">
        <v>51</v>
      </c>
      <c r="X139" s="6" t="s">
        <v>292</v>
      </c>
    </row>
    <row r="140" spans="1:24" hidden="1" x14ac:dyDescent="0.25">
      <c r="A140" t="s">
        <v>313</v>
      </c>
      <c r="B140" t="s">
        <v>314</v>
      </c>
      <c r="C140" t="s">
        <v>24</v>
      </c>
      <c r="D140">
        <v>22</v>
      </c>
      <c r="E140" t="s">
        <v>315</v>
      </c>
      <c r="F140" t="s">
        <v>50</v>
      </c>
      <c r="G140" t="s">
        <v>26</v>
      </c>
      <c r="H140" t="str">
        <f>INDEX(Table1[Diagnosis],MATCH(I140,'codeand diagnosis'!$A$2:$A$11,0))</f>
        <v>Gingivitis</v>
      </c>
      <c r="I140" t="s">
        <v>27</v>
      </c>
      <c r="J140" t="str">
        <f>INDEX(Table1[ICD-10 Code],MATCH(Table2[[#This Row],[Treatment]],Table1[Treatment Type],0))</f>
        <v>K05.10</v>
      </c>
      <c r="K140" t="s">
        <v>28</v>
      </c>
      <c r="L140" t="s">
        <v>38</v>
      </c>
      <c r="M140" t="s">
        <v>29</v>
      </c>
      <c r="N140">
        <f>Table2[[#This Row],[Total Paid]]+Table2[[#This Row],[Due]]</f>
        <v>487</v>
      </c>
      <c r="O140">
        <v>687</v>
      </c>
      <c r="P140">
        <v>0</v>
      </c>
      <c r="Q140">
        <v>0</v>
      </c>
      <c r="R140">
        <v>0</v>
      </c>
      <c r="S140">
        <v>200</v>
      </c>
      <c r="T140">
        <v>487</v>
      </c>
      <c r="U140">
        <v>0</v>
      </c>
      <c r="V140">
        <v>487</v>
      </c>
      <c r="W140" t="s">
        <v>47</v>
      </c>
      <c r="X140" s="6" t="s">
        <v>292</v>
      </c>
    </row>
    <row r="141" spans="1:24" hidden="1" x14ac:dyDescent="0.25">
      <c r="A141" t="s">
        <v>316</v>
      </c>
      <c r="B141" t="s">
        <v>290</v>
      </c>
      <c r="C141" t="s">
        <v>34</v>
      </c>
      <c r="D141">
        <v>40</v>
      </c>
      <c r="E141" t="s">
        <v>315</v>
      </c>
      <c r="F141" t="s">
        <v>88</v>
      </c>
      <c r="G141" t="s">
        <v>26</v>
      </c>
      <c r="H141" t="str">
        <f>INDEX(Table1[Diagnosis],MATCH(I141,'codeand diagnosis'!$A$2:$A$11,0))</f>
        <v>Dental examination</v>
      </c>
      <c r="I141" t="s">
        <v>45</v>
      </c>
      <c r="J141" t="str">
        <f>INDEX(Table1[ICD-10 Code],MATCH(Table2[[#This Row],[Treatment]],Table1[Treatment Type],0))</f>
        <v>Z01.2</v>
      </c>
      <c r="K141" t="s">
        <v>28</v>
      </c>
      <c r="L141" t="s">
        <v>28</v>
      </c>
      <c r="M141" t="s">
        <v>61</v>
      </c>
      <c r="N141">
        <f>Table2[[#This Row],[Total Paid]]+Table2[[#This Row],[Due]]</f>
        <v>200</v>
      </c>
      <c r="O141">
        <v>0</v>
      </c>
      <c r="P141">
        <v>0</v>
      </c>
      <c r="Q141">
        <v>200</v>
      </c>
      <c r="R141">
        <v>0</v>
      </c>
      <c r="S141">
        <v>0</v>
      </c>
      <c r="T141">
        <v>200</v>
      </c>
      <c r="U141">
        <v>0</v>
      </c>
      <c r="V141">
        <v>200</v>
      </c>
      <c r="W141" t="s">
        <v>51</v>
      </c>
      <c r="X141" s="6" t="s">
        <v>292</v>
      </c>
    </row>
    <row r="142" spans="1:24" x14ac:dyDescent="0.25">
      <c r="A142" t="s">
        <v>317</v>
      </c>
      <c r="B142" t="s">
        <v>211</v>
      </c>
      <c r="C142" t="s">
        <v>34</v>
      </c>
      <c r="D142">
        <v>5</v>
      </c>
      <c r="E142" t="s">
        <v>318</v>
      </c>
      <c r="F142" t="s">
        <v>50</v>
      </c>
      <c r="G142" t="s">
        <v>26</v>
      </c>
      <c r="H142" t="str">
        <f>INDEX(Table1[Diagnosis],MATCH(I142,'codeand diagnosis'!$A$2:$A$11,0))</f>
        <v>Dental examination</v>
      </c>
      <c r="I142" t="s">
        <v>45</v>
      </c>
      <c r="J142" t="str">
        <f>INDEX(Table1[ICD-10 Code],MATCH(Table2[[#This Row],[Treatment]],Table1[Treatment Type],0))</f>
        <v>Z01.2</v>
      </c>
      <c r="K142" t="s">
        <v>28</v>
      </c>
      <c r="L142" t="s">
        <v>28</v>
      </c>
      <c r="M142" t="s">
        <v>29</v>
      </c>
      <c r="N142">
        <f>Table2[[#This Row],[Total Paid]]+Table2[[#This Row],[Due]]</f>
        <v>200</v>
      </c>
      <c r="O142">
        <v>0</v>
      </c>
      <c r="P142">
        <v>0</v>
      </c>
      <c r="Q142">
        <v>200</v>
      </c>
      <c r="R142">
        <v>0</v>
      </c>
      <c r="S142">
        <v>0</v>
      </c>
      <c r="T142">
        <v>200</v>
      </c>
      <c r="U142">
        <v>0</v>
      </c>
      <c r="V142">
        <v>200</v>
      </c>
      <c r="W142" t="s">
        <v>51</v>
      </c>
      <c r="X142" s="6" t="s">
        <v>292</v>
      </c>
    </row>
    <row r="143" spans="1:24" hidden="1" x14ac:dyDescent="0.25">
      <c r="A143" t="s">
        <v>319</v>
      </c>
      <c r="B143" t="s">
        <v>271</v>
      </c>
      <c r="C143" t="s">
        <v>24</v>
      </c>
      <c r="D143">
        <v>55</v>
      </c>
      <c r="E143" t="s">
        <v>318</v>
      </c>
      <c r="F143" t="s">
        <v>35</v>
      </c>
      <c r="G143" t="s">
        <v>26</v>
      </c>
      <c r="H143" t="str">
        <f>INDEX(Table1[Diagnosis],MATCH(I143,'codeand diagnosis'!$A$2:$A$11,0))</f>
        <v>Dental examination</v>
      </c>
      <c r="I143" t="s">
        <v>45</v>
      </c>
      <c r="J143" t="str">
        <f>INDEX(Table1[ICD-10 Code],MATCH(Table2[[#This Row],[Treatment]],Table1[Treatment Type],0))</f>
        <v>Z01.2</v>
      </c>
      <c r="K143" t="s">
        <v>28</v>
      </c>
      <c r="L143" t="s">
        <v>28</v>
      </c>
      <c r="M143" t="s">
        <v>29</v>
      </c>
      <c r="N143">
        <f>Table2[[#This Row],[Total Paid]]+Table2[[#This Row],[Due]]</f>
        <v>200</v>
      </c>
      <c r="O143">
        <v>0</v>
      </c>
      <c r="P143">
        <v>0</v>
      </c>
      <c r="Q143">
        <v>200</v>
      </c>
      <c r="R143">
        <v>0</v>
      </c>
      <c r="S143">
        <v>0</v>
      </c>
      <c r="T143">
        <v>200</v>
      </c>
      <c r="U143">
        <v>0</v>
      </c>
      <c r="V143">
        <v>200</v>
      </c>
      <c r="W143" t="s">
        <v>51</v>
      </c>
      <c r="X143" s="6" t="s">
        <v>292</v>
      </c>
    </row>
    <row r="144" spans="1:24" hidden="1" x14ac:dyDescent="0.25">
      <c r="A144" t="s">
        <v>320</v>
      </c>
      <c r="B144" t="s">
        <v>232</v>
      </c>
      <c r="C144" t="s">
        <v>24</v>
      </c>
      <c r="D144">
        <v>9</v>
      </c>
      <c r="E144" t="s">
        <v>321</v>
      </c>
      <c r="F144" t="s">
        <v>50</v>
      </c>
      <c r="G144" t="s">
        <v>26</v>
      </c>
      <c r="H144" t="str">
        <f>INDEX(Table1[Diagnosis],MATCH(I144,'codeand diagnosis'!$A$2:$A$11,0))</f>
        <v>Missing teeth</v>
      </c>
      <c r="I144" t="s">
        <v>78</v>
      </c>
      <c r="J144" t="str">
        <f>INDEX(Table1[ICD-10 Code],MATCH(Table2[[#This Row],[Treatment]],Table1[Treatment Type],0))</f>
        <v>K08.1</v>
      </c>
      <c r="K144" t="s">
        <v>28</v>
      </c>
      <c r="L144" t="s">
        <v>38</v>
      </c>
      <c r="M144" t="s">
        <v>29</v>
      </c>
      <c r="N144">
        <f>Table2[[#This Row],[Total Paid]]+Table2[[#This Row],[Due]]</f>
        <v>22053</v>
      </c>
      <c r="O144">
        <v>22553</v>
      </c>
      <c r="P144">
        <v>0</v>
      </c>
      <c r="Q144">
        <v>0</v>
      </c>
      <c r="R144">
        <v>6100</v>
      </c>
      <c r="S144">
        <v>500</v>
      </c>
      <c r="T144">
        <v>22053</v>
      </c>
      <c r="U144">
        <v>0</v>
      </c>
      <c r="V144">
        <v>15953</v>
      </c>
      <c r="W144" t="s">
        <v>30</v>
      </c>
      <c r="X144" s="6" t="s">
        <v>292</v>
      </c>
    </row>
    <row r="145" spans="1:24" hidden="1" x14ac:dyDescent="0.25">
      <c r="A145" t="s">
        <v>322</v>
      </c>
      <c r="B145" t="s">
        <v>167</v>
      </c>
      <c r="C145" t="s">
        <v>24</v>
      </c>
      <c r="D145">
        <v>54</v>
      </c>
      <c r="E145" t="s">
        <v>323</v>
      </c>
      <c r="F145" t="s">
        <v>88</v>
      </c>
      <c r="G145" t="s">
        <v>26</v>
      </c>
      <c r="H145" t="str">
        <f>INDEX(Table1[Diagnosis],MATCH(I145,'codeand diagnosis'!$A$2:$A$11,0))</f>
        <v>Dental examination with radiology</v>
      </c>
      <c r="I145" t="s">
        <v>37</v>
      </c>
      <c r="J145" t="str">
        <f>INDEX(Table1[ICD-10 Code],MATCH(Table2[[#This Row],[Treatment]],Table1[Treatment Type],0))</f>
        <v>Z01.2</v>
      </c>
      <c r="K145" t="s">
        <v>28</v>
      </c>
      <c r="L145" t="s">
        <v>38</v>
      </c>
      <c r="M145" t="s">
        <v>29</v>
      </c>
      <c r="N145">
        <f>Table2[[#This Row],[Total Paid]]+Table2[[#This Row],[Due]]</f>
        <v>350</v>
      </c>
      <c r="O145">
        <v>0</v>
      </c>
      <c r="P145">
        <v>150</v>
      </c>
      <c r="Q145">
        <v>200</v>
      </c>
      <c r="R145">
        <v>0</v>
      </c>
      <c r="S145">
        <v>0</v>
      </c>
      <c r="T145">
        <v>350</v>
      </c>
      <c r="U145">
        <v>0</v>
      </c>
      <c r="V145">
        <v>350</v>
      </c>
      <c r="W145" t="s">
        <v>42</v>
      </c>
      <c r="X145" s="6" t="s">
        <v>292</v>
      </c>
    </row>
    <row r="146" spans="1:24" hidden="1" x14ac:dyDescent="0.25">
      <c r="A146" t="s">
        <v>324</v>
      </c>
      <c r="B146" t="s">
        <v>314</v>
      </c>
      <c r="C146" t="s">
        <v>24</v>
      </c>
      <c r="D146">
        <v>66</v>
      </c>
      <c r="E146" t="s">
        <v>323</v>
      </c>
      <c r="F146" t="s">
        <v>88</v>
      </c>
      <c r="G146" t="s">
        <v>36</v>
      </c>
      <c r="H146" t="str">
        <f>INDEX(Table1[Diagnosis],MATCH(I146,'codeand diagnosis'!$A$2:$A$11,0))</f>
        <v>Gingivitis</v>
      </c>
      <c r="I146" t="s">
        <v>27</v>
      </c>
      <c r="J146" t="str">
        <f>INDEX(Table1[ICD-10 Code],MATCH(Table2[[#This Row],[Treatment]],Table1[Treatment Type],0))</f>
        <v>K05.10</v>
      </c>
      <c r="K146" t="s">
        <v>28</v>
      </c>
      <c r="L146" t="s">
        <v>28</v>
      </c>
      <c r="M146" t="s">
        <v>29</v>
      </c>
      <c r="N146">
        <f>Table2[[#This Row],[Total Paid]]+Table2[[#This Row],[Due]]</f>
        <v>649</v>
      </c>
      <c r="O146">
        <v>649</v>
      </c>
      <c r="P146">
        <v>0</v>
      </c>
      <c r="Q146">
        <v>0</v>
      </c>
      <c r="R146">
        <v>0</v>
      </c>
      <c r="S146">
        <v>0</v>
      </c>
      <c r="T146">
        <v>649</v>
      </c>
      <c r="U146">
        <v>0</v>
      </c>
      <c r="V146">
        <v>649</v>
      </c>
      <c r="W146" t="s">
        <v>51</v>
      </c>
      <c r="X146" s="6" t="s">
        <v>292</v>
      </c>
    </row>
    <row r="147" spans="1:24" hidden="1" x14ac:dyDescent="0.25">
      <c r="A147" t="s">
        <v>325</v>
      </c>
      <c r="B147" t="s">
        <v>53</v>
      </c>
      <c r="C147" t="s">
        <v>34</v>
      </c>
      <c r="D147">
        <v>53</v>
      </c>
      <c r="E147" t="s">
        <v>323</v>
      </c>
      <c r="F147" t="s">
        <v>50</v>
      </c>
      <c r="G147" t="s">
        <v>26</v>
      </c>
      <c r="H147" t="str">
        <f>INDEX(Table1[Diagnosis],MATCH(I147,'codeand diagnosis'!$A$2:$A$11,0))</f>
        <v>Pulpitis</v>
      </c>
      <c r="I147" t="s">
        <v>111</v>
      </c>
      <c r="J147" t="str">
        <f>INDEX(Table1[ICD-10 Code],MATCH(Table2[[#This Row],[Treatment]],Table1[Treatment Type],0))</f>
        <v>K04.0</v>
      </c>
      <c r="K147" t="s">
        <v>28</v>
      </c>
      <c r="L147" t="s">
        <v>38</v>
      </c>
      <c r="M147" t="s">
        <v>29</v>
      </c>
      <c r="N147">
        <f>Table2[[#This Row],[Total Paid]]+Table2[[#This Row],[Due]]</f>
        <v>2678</v>
      </c>
      <c r="O147">
        <v>2678</v>
      </c>
      <c r="P147">
        <v>0</v>
      </c>
      <c r="Q147">
        <v>0</v>
      </c>
      <c r="R147">
        <v>0</v>
      </c>
      <c r="S147">
        <v>0</v>
      </c>
      <c r="T147">
        <v>2678</v>
      </c>
      <c r="U147">
        <v>0</v>
      </c>
      <c r="V147">
        <v>2678</v>
      </c>
      <c r="W147" t="s">
        <v>47</v>
      </c>
      <c r="X147" s="6" t="s">
        <v>292</v>
      </c>
    </row>
    <row r="148" spans="1:24" hidden="1" x14ac:dyDescent="0.25">
      <c r="A148" t="s">
        <v>326</v>
      </c>
      <c r="B148" t="s">
        <v>237</v>
      </c>
      <c r="C148" t="s">
        <v>34</v>
      </c>
      <c r="D148">
        <v>8</v>
      </c>
      <c r="E148" t="s">
        <v>327</v>
      </c>
      <c r="F148" t="s">
        <v>50</v>
      </c>
      <c r="G148" t="s">
        <v>36</v>
      </c>
      <c r="H148" t="str">
        <f>INDEX(Table1[Diagnosis],MATCH(I148,'codeand diagnosis'!$A$2:$A$11,0))</f>
        <v>Loss of teeth</v>
      </c>
      <c r="I148" t="s">
        <v>68</v>
      </c>
      <c r="J148" t="str">
        <f>INDEX(Table1[ICD-10 Code],MATCH(Table2[[#This Row],[Treatment]],Table1[Treatment Type],0))</f>
        <v>K08.1</v>
      </c>
      <c r="K148" t="s">
        <v>28</v>
      </c>
      <c r="L148" t="s">
        <v>28</v>
      </c>
      <c r="M148" t="s">
        <v>29</v>
      </c>
      <c r="N148">
        <f>Table2[[#This Row],[Total Paid]]+Table2[[#This Row],[Due]]</f>
        <v>447</v>
      </c>
      <c r="O148">
        <v>745</v>
      </c>
      <c r="P148">
        <v>0</v>
      </c>
      <c r="Q148">
        <v>0</v>
      </c>
      <c r="R148">
        <v>0</v>
      </c>
      <c r="S148">
        <v>298</v>
      </c>
      <c r="T148">
        <v>447</v>
      </c>
      <c r="U148">
        <v>0</v>
      </c>
      <c r="V148">
        <v>447</v>
      </c>
      <c r="W148" t="s">
        <v>42</v>
      </c>
      <c r="X148" s="6" t="s">
        <v>292</v>
      </c>
    </row>
    <row r="149" spans="1:24" hidden="1" x14ac:dyDescent="0.25">
      <c r="A149" t="s">
        <v>328</v>
      </c>
      <c r="B149" t="s">
        <v>237</v>
      </c>
      <c r="C149" t="s">
        <v>34</v>
      </c>
      <c r="D149">
        <v>26</v>
      </c>
      <c r="E149" t="s">
        <v>329</v>
      </c>
      <c r="F149" t="s">
        <v>35</v>
      </c>
      <c r="G149" t="s">
        <v>26</v>
      </c>
      <c r="H149" t="str">
        <f>INDEX(Table1[Diagnosis],MATCH(I149,'codeand diagnosis'!$A$2:$A$11,0))</f>
        <v>Dental examination with radiology</v>
      </c>
      <c r="I149" t="s">
        <v>37</v>
      </c>
      <c r="J149" t="str">
        <f>INDEX(Table1[ICD-10 Code],MATCH(Table2[[#This Row],[Treatment]],Table1[Treatment Type],0))</f>
        <v>Z01.2</v>
      </c>
      <c r="K149" t="s">
        <v>28</v>
      </c>
      <c r="L149" t="s">
        <v>38</v>
      </c>
      <c r="M149" t="s">
        <v>29</v>
      </c>
      <c r="N149">
        <f>Table2[[#This Row],[Total Paid]]+Table2[[#This Row],[Due]]</f>
        <v>350</v>
      </c>
      <c r="O149">
        <v>0</v>
      </c>
      <c r="P149">
        <v>150</v>
      </c>
      <c r="Q149">
        <v>200</v>
      </c>
      <c r="R149">
        <v>0</v>
      </c>
      <c r="S149">
        <v>0</v>
      </c>
      <c r="T149">
        <v>350</v>
      </c>
      <c r="U149">
        <v>0</v>
      </c>
      <c r="V149">
        <v>350</v>
      </c>
      <c r="W149" t="s">
        <v>47</v>
      </c>
      <c r="X149" s="6" t="s">
        <v>292</v>
      </c>
    </row>
    <row r="150" spans="1:24" hidden="1" x14ac:dyDescent="0.25">
      <c r="A150" t="s">
        <v>330</v>
      </c>
      <c r="B150" t="s">
        <v>177</v>
      </c>
      <c r="C150" t="s">
        <v>34</v>
      </c>
      <c r="D150">
        <v>12</v>
      </c>
      <c r="E150" t="s">
        <v>329</v>
      </c>
      <c r="F150" t="s">
        <v>88</v>
      </c>
      <c r="G150" t="s">
        <v>26</v>
      </c>
      <c r="H150" t="str">
        <f>INDEX(Table1[Diagnosis],MATCH(I150,'codeand diagnosis'!$A$2:$A$11,0))</f>
        <v>Dental examination with radiology</v>
      </c>
      <c r="I150" t="s">
        <v>37</v>
      </c>
      <c r="J150" t="str">
        <f>INDEX(Table1[ICD-10 Code],MATCH(Table2[[#This Row],[Treatment]],Table1[Treatment Type],0))</f>
        <v>Z01.2</v>
      </c>
      <c r="K150" t="s">
        <v>28</v>
      </c>
      <c r="L150" t="s">
        <v>38</v>
      </c>
      <c r="M150" t="s">
        <v>29</v>
      </c>
      <c r="N150">
        <f>Table2[[#This Row],[Total Paid]]+Table2[[#This Row],[Due]]</f>
        <v>350</v>
      </c>
      <c r="O150">
        <v>0</v>
      </c>
      <c r="P150">
        <v>150</v>
      </c>
      <c r="Q150">
        <v>200</v>
      </c>
      <c r="R150">
        <v>0</v>
      </c>
      <c r="S150">
        <v>0</v>
      </c>
      <c r="T150">
        <v>350</v>
      </c>
      <c r="U150">
        <v>0</v>
      </c>
      <c r="V150">
        <v>350</v>
      </c>
      <c r="W150" t="s">
        <v>51</v>
      </c>
      <c r="X150" s="6" t="s">
        <v>292</v>
      </c>
    </row>
    <row r="151" spans="1:24" hidden="1" x14ac:dyDescent="0.25">
      <c r="A151" t="s">
        <v>331</v>
      </c>
      <c r="B151" t="s">
        <v>268</v>
      </c>
      <c r="C151" t="s">
        <v>34</v>
      </c>
      <c r="D151">
        <v>14</v>
      </c>
      <c r="E151" t="s">
        <v>329</v>
      </c>
      <c r="F151" t="s">
        <v>25</v>
      </c>
      <c r="G151" t="s">
        <v>26</v>
      </c>
      <c r="H151" t="str">
        <f>INDEX(Table1[Diagnosis],MATCH(I151,'codeand diagnosis'!$A$2:$A$11,0))</f>
        <v>Dental examination with radiology</v>
      </c>
      <c r="I151" t="s">
        <v>37</v>
      </c>
      <c r="J151" t="str">
        <f>INDEX(Table1[ICD-10 Code],MATCH(Table2[[#This Row],[Treatment]],Table1[Treatment Type],0))</f>
        <v>Z01.2</v>
      </c>
      <c r="K151" t="s">
        <v>28</v>
      </c>
      <c r="L151" t="s">
        <v>38</v>
      </c>
      <c r="M151" t="s">
        <v>29</v>
      </c>
      <c r="N151">
        <f>Table2[[#This Row],[Total Paid]]+Table2[[#This Row],[Due]]</f>
        <v>350</v>
      </c>
      <c r="O151">
        <v>0</v>
      </c>
      <c r="P151">
        <v>150</v>
      </c>
      <c r="Q151">
        <v>200</v>
      </c>
      <c r="R151">
        <v>0</v>
      </c>
      <c r="S151">
        <v>0</v>
      </c>
      <c r="T151">
        <v>350</v>
      </c>
      <c r="U151">
        <v>0</v>
      </c>
      <c r="V151">
        <v>350</v>
      </c>
      <c r="W151" t="s">
        <v>47</v>
      </c>
      <c r="X151" s="6" t="s">
        <v>292</v>
      </c>
    </row>
    <row r="152" spans="1:24" hidden="1" x14ac:dyDescent="0.25">
      <c r="A152" t="s">
        <v>332</v>
      </c>
      <c r="B152" t="s">
        <v>148</v>
      </c>
      <c r="C152" t="s">
        <v>24</v>
      </c>
      <c r="D152">
        <v>29</v>
      </c>
      <c r="E152" t="s">
        <v>333</v>
      </c>
      <c r="F152" t="s">
        <v>88</v>
      </c>
      <c r="G152" t="s">
        <v>26</v>
      </c>
      <c r="H152" t="str">
        <f>INDEX(Table1[Diagnosis],MATCH(I152,'codeand diagnosis'!$A$2:$A$11,0))</f>
        <v>Dental examination with radiology</v>
      </c>
      <c r="I152" t="s">
        <v>37</v>
      </c>
      <c r="J152" t="str">
        <f>INDEX(Table1[ICD-10 Code],MATCH(Table2[[#This Row],[Treatment]],Table1[Treatment Type],0))</f>
        <v>Z01.2</v>
      </c>
      <c r="K152" t="s">
        <v>28</v>
      </c>
      <c r="L152" t="s">
        <v>38</v>
      </c>
      <c r="M152" t="s">
        <v>29</v>
      </c>
      <c r="N152">
        <f>Table2[[#This Row],[Total Paid]]+Table2[[#This Row],[Due]]</f>
        <v>350</v>
      </c>
      <c r="O152">
        <v>0</v>
      </c>
      <c r="P152">
        <v>150</v>
      </c>
      <c r="Q152">
        <v>200</v>
      </c>
      <c r="R152">
        <v>0</v>
      </c>
      <c r="S152">
        <v>0</v>
      </c>
      <c r="T152">
        <v>350</v>
      </c>
      <c r="U152">
        <v>0</v>
      </c>
      <c r="V152">
        <v>350</v>
      </c>
      <c r="W152" t="s">
        <v>42</v>
      </c>
      <c r="X152" s="6" t="s">
        <v>292</v>
      </c>
    </row>
    <row r="153" spans="1:24" hidden="1" x14ac:dyDescent="0.25">
      <c r="A153" t="s">
        <v>334</v>
      </c>
      <c r="B153" t="s">
        <v>188</v>
      </c>
      <c r="C153" t="s">
        <v>34</v>
      </c>
      <c r="D153">
        <v>52</v>
      </c>
      <c r="E153" t="s">
        <v>333</v>
      </c>
      <c r="F153" t="s">
        <v>50</v>
      </c>
      <c r="G153" t="s">
        <v>26</v>
      </c>
      <c r="H153" t="str">
        <f>INDEX(Table1[Diagnosis],MATCH(I153,'codeand diagnosis'!$A$2:$A$11,0))</f>
        <v>Dental examination with radiology</v>
      </c>
      <c r="I153" t="s">
        <v>37</v>
      </c>
      <c r="J153" t="str">
        <f>INDEX(Table1[ICD-10 Code],MATCH(Table2[[#This Row],[Treatment]],Table1[Treatment Type],0))</f>
        <v>Z01.2</v>
      </c>
      <c r="K153" t="s">
        <v>28</v>
      </c>
      <c r="L153" t="s">
        <v>38</v>
      </c>
      <c r="M153" t="s">
        <v>29</v>
      </c>
      <c r="N153">
        <f>Table2[[#This Row],[Total Paid]]+Table2[[#This Row],[Due]]</f>
        <v>350</v>
      </c>
      <c r="O153">
        <v>0</v>
      </c>
      <c r="P153">
        <v>150</v>
      </c>
      <c r="Q153">
        <v>200</v>
      </c>
      <c r="R153">
        <v>0</v>
      </c>
      <c r="S153">
        <v>0</v>
      </c>
      <c r="T153">
        <v>350</v>
      </c>
      <c r="U153">
        <v>0</v>
      </c>
      <c r="V153">
        <v>350</v>
      </c>
      <c r="W153" t="s">
        <v>30</v>
      </c>
      <c r="X153" s="6" t="s">
        <v>292</v>
      </c>
    </row>
    <row r="154" spans="1:24" hidden="1" x14ac:dyDescent="0.25">
      <c r="A154" t="s">
        <v>335</v>
      </c>
      <c r="B154" t="s">
        <v>222</v>
      </c>
      <c r="C154" t="s">
        <v>24</v>
      </c>
      <c r="D154">
        <v>37</v>
      </c>
      <c r="E154" t="s">
        <v>336</v>
      </c>
      <c r="F154" t="s">
        <v>88</v>
      </c>
      <c r="G154" t="s">
        <v>36</v>
      </c>
      <c r="H154" t="str">
        <f>INDEX(Table1[Diagnosis],MATCH(I154,'codeand diagnosis'!$A$2:$A$11,0))</f>
        <v>Dental examination with radiology</v>
      </c>
      <c r="I154" t="s">
        <v>37</v>
      </c>
      <c r="J154" t="str">
        <f>INDEX(Table1[ICD-10 Code],MATCH(Table2[[#This Row],[Treatment]],Table1[Treatment Type],0))</f>
        <v>Z01.2</v>
      </c>
      <c r="K154" t="s">
        <v>28</v>
      </c>
      <c r="L154" t="s">
        <v>38</v>
      </c>
      <c r="M154" t="s">
        <v>29</v>
      </c>
      <c r="N154">
        <f>Table2[[#This Row],[Total Paid]]+Table2[[#This Row],[Due]]</f>
        <v>350</v>
      </c>
      <c r="O154">
        <v>0</v>
      </c>
      <c r="P154">
        <v>150</v>
      </c>
      <c r="Q154">
        <v>200</v>
      </c>
      <c r="R154">
        <v>0</v>
      </c>
      <c r="S154">
        <v>0</v>
      </c>
      <c r="T154">
        <v>350</v>
      </c>
      <c r="U154">
        <v>0</v>
      </c>
      <c r="V154">
        <v>350</v>
      </c>
      <c r="W154" t="s">
        <v>51</v>
      </c>
      <c r="X154" s="6" t="s">
        <v>292</v>
      </c>
    </row>
    <row r="155" spans="1:24" hidden="1" x14ac:dyDescent="0.25">
      <c r="A155" t="s">
        <v>337</v>
      </c>
      <c r="B155" t="s">
        <v>84</v>
      </c>
      <c r="C155" t="s">
        <v>34</v>
      </c>
      <c r="D155">
        <v>10</v>
      </c>
      <c r="E155" t="s">
        <v>338</v>
      </c>
      <c r="F155" t="s">
        <v>35</v>
      </c>
      <c r="G155" t="s">
        <v>36</v>
      </c>
      <c r="H155" t="str">
        <f>INDEX(Table1[Diagnosis],MATCH(I155,'codeand diagnosis'!$A$2:$A$11,0))</f>
        <v>Dental caries</v>
      </c>
      <c r="I155" t="s">
        <v>41</v>
      </c>
      <c r="J155" t="str">
        <f>INDEX(Table1[ICD-10 Code],MATCH(Table2[[#This Row],[Treatment]],Table1[Treatment Type],0))</f>
        <v>K02.9</v>
      </c>
      <c r="K155" t="s">
        <v>28</v>
      </c>
      <c r="L155" t="s">
        <v>38</v>
      </c>
      <c r="M155" t="s">
        <v>29</v>
      </c>
      <c r="N155">
        <f>Table2[[#This Row],[Total Paid]]+Table2[[#This Row],[Due]]</f>
        <v>929</v>
      </c>
      <c r="O155">
        <v>929</v>
      </c>
      <c r="P155">
        <v>0</v>
      </c>
      <c r="Q155">
        <v>0</v>
      </c>
      <c r="R155">
        <v>0</v>
      </c>
      <c r="S155">
        <v>0</v>
      </c>
      <c r="T155">
        <v>929</v>
      </c>
      <c r="U155">
        <v>0</v>
      </c>
      <c r="V155">
        <v>929</v>
      </c>
      <c r="W155" t="s">
        <v>51</v>
      </c>
      <c r="X155" s="6" t="s">
        <v>292</v>
      </c>
    </row>
    <row r="156" spans="1:24" hidden="1" x14ac:dyDescent="0.25">
      <c r="A156" t="s">
        <v>339</v>
      </c>
      <c r="B156" t="s">
        <v>340</v>
      </c>
      <c r="C156" t="s">
        <v>34</v>
      </c>
      <c r="D156">
        <v>62</v>
      </c>
      <c r="E156" t="s">
        <v>338</v>
      </c>
      <c r="F156" t="s">
        <v>132</v>
      </c>
      <c r="G156" t="s">
        <v>26</v>
      </c>
      <c r="H156" t="str">
        <f>INDEX(Table1[Diagnosis],MATCH(I156,'codeand diagnosis'!$A$2:$A$11,0))</f>
        <v>Dental examination</v>
      </c>
      <c r="I156" t="s">
        <v>45</v>
      </c>
      <c r="J156" t="str">
        <f>INDEX(Table1[ICD-10 Code],MATCH(Table2[[#This Row],[Treatment]],Table1[Treatment Type],0))</f>
        <v>Z01.2</v>
      </c>
      <c r="K156" t="s">
        <v>28</v>
      </c>
      <c r="L156" t="s">
        <v>28</v>
      </c>
      <c r="M156" t="s">
        <v>29</v>
      </c>
      <c r="N156">
        <f>Table2[[#This Row],[Total Paid]]+Table2[[#This Row],[Due]]</f>
        <v>200</v>
      </c>
      <c r="O156">
        <v>0</v>
      </c>
      <c r="P156">
        <v>0</v>
      </c>
      <c r="Q156">
        <v>200</v>
      </c>
      <c r="R156">
        <v>0</v>
      </c>
      <c r="S156">
        <v>0</v>
      </c>
      <c r="T156">
        <v>200</v>
      </c>
      <c r="U156">
        <v>0</v>
      </c>
      <c r="V156">
        <v>200</v>
      </c>
      <c r="W156" t="s">
        <v>51</v>
      </c>
      <c r="X156" s="6" t="s">
        <v>292</v>
      </c>
    </row>
    <row r="157" spans="1:24" hidden="1" x14ac:dyDescent="0.25">
      <c r="A157" t="s">
        <v>341</v>
      </c>
      <c r="B157" t="s">
        <v>342</v>
      </c>
      <c r="C157" t="s">
        <v>34</v>
      </c>
      <c r="D157">
        <v>38</v>
      </c>
      <c r="E157" t="s">
        <v>338</v>
      </c>
      <c r="F157" t="s">
        <v>35</v>
      </c>
      <c r="G157" t="s">
        <v>26</v>
      </c>
      <c r="H157" t="str">
        <f>INDEX(Table1[Diagnosis],MATCH(I157,'codeand diagnosis'!$A$2:$A$11,0))</f>
        <v>Cosmetic procedure</v>
      </c>
      <c r="I157" t="s">
        <v>55</v>
      </c>
      <c r="J157" t="str">
        <f>INDEX(Table1[ICD-10 Code],MATCH(Table2[[#This Row],[Treatment]],Table1[Treatment Type],0))</f>
        <v>Z41.1</v>
      </c>
      <c r="K157" t="s">
        <v>28</v>
      </c>
      <c r="L157" t="s">
        <v>38</v>
      </c>
      <c r="M157" t="s">
        <v>61</v>
      </c>
      <c r="N157">
        <f>Table2[[#This Row],[Total Paid]]+Table2[[#This Row],[Due]]</f>
        <v>1120</v>
      </c>
      <c r="O157">
        <v>1220</v>
      </c>
      <c r="P157">
        <v>0</v>
      </c>
      <c r="Q157">
        <v>0</v>
      </c>
      <c r="R157">
        <v>0</v>
      </c>
      <c r="S157">
        <v>100</v>
      </c>
      <c r="T157">
        <v>1120</v>
      </c>
      <c r="U157">
        <v>0</v>
      </c>
      <c r="V157">
        <v>1120</v>
      </c>
      <c r="W157" t="s">
        <v>42</v>
      </c>
      <c r="X157" s="6" t="s">
        <v>292</v>
      </c>
    </row>
    <row r="158" spans="1:24" hidden="1" x14ac:dyDescent="0.25">
      <c r="A158" t="s">
        <v>343</v>
      </c>
      <c r="B158" t="s">
        <v>262</v>
      </c>
      <c r="C158" t="s">
        <v>34</v>
      </c>
      <c r="D158">
        <v>29</v>
      </c>
      <c r="E158" t="s">
        <v>344</v>
      </c>
      <c r="F158" t="s">
        <v>50</v>
      </c>
      <c r="G158" t="s">
        <v>36</v>
      </c>
      <c r="H158" t="str">
        <f>INDEX(Table1[Diagnosis],MATCH(I158,'codeand diagnosis'!$A$2:$A$11,0))</f>
        <v>Dental examination with radiology</v>
      </c>
      <c r="I158" t="s">
        <v>37</v>
      </c>
      <c r="J158" t="str">
        <f>INDEX(Table1[ICD-10 Code],MATCH(Table2[[#This Row],[Treatment]],Table1[Treatment Type],0))</f>
        <v>Z01.2</v>
      </c>
      <c r="K158" t="s">
        <v>28</v>
      </c>
      <c r="L158" t="s">
        <v>38</v>
      </c>
      <c r="M158" t="s">
        <v>29</v>
      </c>
      <c r="N158">
        <f>Table2[[#This Row],[Total Paid]]+Table2[[#This Row],[Due]]</f>
        <v>210</v>
      </c>
      <c r="O158">
        <v>0</v>
      </c>
      <c r="P158">
        <v>150</v>
      </c>
      <c r="Q158">
        <v>200</v>
      </c>
      <c r="R158">
        <v>0</v>
      </c>
      <c r="S158">
        <v>140</v>
      </c>
      <c r="T158">
        <v>210</v>
      </c>
      <c r="U158">
        <v>0</v>
      </c>
      <c r="V158">
        <v>210</v>
      </c>
      <c r="W158" t="s">
        <v>30</v>
      </c>
      <c r="X158" s="6" t="s">
        <v>292</v>
      </c>
    </row>
    <row r="159" spans="1:24" hidden="1" x14ac:dyDescent="0.25">
      <c r="A159" t="s">
        <v>345</v>
      </c>
      <c r="B159" t="s">
        <v>125</v>
      </c>
      <c r="C159" t="s">
        <v>34</v>
      </c>
      <c r="D159">
        <v>10</v>
      </c>
      <c r="E159" t="s">
        <v>344</v>
      </c>
      <c r="F159" t="s">
        <v>92</v>
      </c>
      <c r="G159" t="s">
        <v>36</v>
      </c>
      <c r="H159" t="str">
        <f>INDEX(Table1[Diagnosis],MATCH(I159,'codeand diagnosis'!$A$2:$A$11,0))</f>
        <v>Dental examination</v>
      </c>
      <c r="I159" t="s">
        <v>45</v>
      </c>
      <c r="J159" t="str">
        <f>INDEX(Table1[ICD-10 Code],MATCH(Table2[[#This Row],[Treatment]],Table1[Treatment Type],0))</f>
        <v>Z01.2</v>
      </c>
      <c r="K159" t="s">
        <v>28</v>
      </c>
      <c r="L159" t="s">
        <v>28</v>
      </c>
      <c r="M159" t="s">
        <v>61</v>
      </c>
      <c r="N159">
        <f>Table2[[#This Row],[Total Paid]]+Table2[[#This Row],[Due]]</f>
        <v>200</v>
      </c>
      <c r="O159">
        <v>0</v>
      </c>
      <c r="P159">
        <v>0</v>
      </c>
      <c r="Q159">
        <v>200</v>
      </c>
      <c r="R159">
        <v>0</v>
      </c>
      <c r="S159">
        <v>0</v>
      </c>
      <c r="T159">
        <v>200</v>
      </c>
      <c r="U159">
        <v>0</v>
      </c>
      <c r="V159">
        <v>200</v>
      </c>
      <c r="W159" t="s">
        <v>42</v>
      </c>
      <c r="X159" s="6" t="s">
        <v>292</v>
      </c>
    </row>
    <row r="160" spans="1:24" hidden="1" x14ac:dyDescent="0.25">
      <c r="A160" t="s">
        <v>346</v>
      </c>
      <c r="B160" t="s">
        <v>121</v>
      </c>
      <c r="C160" t="s">
        <v>34</v>
      </c>
      <c r="D160">
        <v>22</v>
      </c>
      <c r="E160" t="s">
        <v>347</v>
      </c>
      <c r="F160" t="s">
        <v>35</v>
      </c>
      <c r="G160" t="s">
        <v>26</v>
      </c>
      <c r="H160" t="str">
        <f>INDEX(Table1[Diagnosis],MATCH(I160,'codeand diagnosis'!$A$2:$A$11,0))</f>
        <v>Dental examination</v>
      </c>
      <c r="I160" t="s">
        <v>45</v>
      </c>
      <c r="J160" t="str">
        <f>INDEX(Table1[ICD-10 Code],MATCH(Table2[[#This Row],[Treatment]],Table1[Treatment Type],0))</f>
        <v>Z01.2</v>
      </c>
      <c r="K160" t="s">
        <v>28</v>
      </c>
      <c r="L160" t="s">
        <v>28</v>
      </c>
      <c r="M160" t="s">
        <v>46</v>
      </c>
      <c r="N160">
        <f>Table2[[#This Row],[Total Paid]]+Table2[[#This Row],[Due]]</f>
        <v>200</v>
      </c>
      <c r="O160">
        <v>0</v>
      </c>
      <c r="P160">
        <v>0</v>
      </c>
      <c r="Q160">
        <v>200</v>
      </c>
      <c r="R160">
        <v>0</v>
      </c>
      <c r="S160">
        <v>0</v>
      </c>
      <c r="T160">
        <v>200</v>
      </c>
      <c r="U160">
        <v>0</v>
      </c>
      <c r="V160">
        <v>200</v>
      </c>
      <c r="W160" t="s">
        <v>47</v>
      </c>
      <c r="X160" s="6" t="s">
        <v>292</v>
      </c>
    </row>
    <row r="161" spans="1:24" hidden="1" x14ac:dyDescent="0.25">
      <c r="A161" t="s">
        <v>348</v>
      </c>
      <c r="B161" t="s">
        <v>65</v>
      </c>
      <c r="C161" t="s">
        <v>24</v>
      </c>
      <c r="D161">
        <v>7</v>
      </c>
      <c r="E161" t="s">
        <v>349</v>
      </c>
      <c r="F161" t="s">
        <v>35</v>
      </c>
      <c r="G161" t="s">
        <v>36</v>
      </c>
      <c r="H161" t="str">
        <f>INDEX(Table1[Diagnosis],MATCH(I161,'codeand diagnosis'!$A$2:$A$11,0))</f>
        <v>Dental examination with radiology</v>
      </c>
      <c r="I161" t="s">
        <v>37</v>
      </c>
      <c r="J161" t="str">
        <f>INDEX(Table1[ICD-10 Code],MATCH(Table2[[#This Row],[Treatment]],Table1[Treatment Type],0))</f>
        <v>Z01.2</v>
      </c>
      <c r="K161" t="s">
        <v>28</v>
      </c>
      <c r="L161" t="s">
        <v>38</v>
      </c>
      <c r="M161" t="s">
        <v>29</v>
      </c>
      <c r="N161">
        <f>Table2[[#This Row],[Total Paid]]+Table2[[#This Row],[Due]]</f>
        <v>350</v>
      </c>
      <c r="O161">
        <v>0</v>
      </c>
      <c r="P161">
        <v>150</v>
      </c>
      <c r="Q161">
        <v>200</v>
      </c>
      <c r="R161">
        <v>0</v>
      </c>
      <c r="S161">
        <v>0</v>
      </c>
      <c r="T161">
        <v>350</v>
      </c>
      <c r="U161">
        <v>0</v>
      </c>
      <c r="V161">
        <v>350</v>
      </c>
      <c r="W161" t="s">
        <v>30</v>
      </c>
      <c r="X161" s="6" t="s">
        <v>292</v>
      </c>
    </row>
    <row r="162" spans="1:24" hidden="1" x14ac:dyDescent="0.25">
      <c r="A162" t="s">
        <v>350</v>
      </c>
      <c r="B162" t="s">
        <v>103</v>
      </c>
      <c r="C162" t="s">
        <v>34</v>
      </c>
      <c r="D162">
        <v>51</v>
      </c>
      <c r="E162" t="s">
        <v>351</v>
      </c>
      <c r="F162" t="s">
        <v>50</v>
      </c>
      <c r="G162" t="s">
        <v>26</v>
      </c>
      <c r="H162" t="str">
        <f>INDEX(Table1[Diagnosis],MATCH(I162,'codeand diagnosis'!$A$2:$A$11,0))</f>
        <v>Dental examination</v>
      </c>
      <c r="I162" t="s">
        <v>45</v>
      </c>
      <c r="J162" t="str">
        <f>INDEX(Table1[ICD-10 Code],MATCH(Table2[[#This Row],[Treatment]],Table1[Treatment Type],0))</f>
        <v>Z01.2</v>
      </c>
      <c r="K162" t="s">
        <v>28</v>
      </c>
      <c r="L162" t="s">
        <v>28</v>
      </c>
      <c r="M162" t="s">
        <v>46</v>
      </c>
      <c r="N162">
        <f>Table2[[#This Row],[Total Paid]]+Table2[[#This Row],[Due]]</f>
        <v>120</v>
      </c>
      <c r="O162">
        <v>0</v>
      </c>
      <c r="P162">
        <v>0</v>
      </c>
      <c r="Q162">
        <v>200</v>
      </c>
      <c r="R162">
        <v>0</v>
      </c>
      <c r="S162">
        <v>80</v>
      </c>
      <c r="T162">
        <v>120</v>
      </c>
      <c r="U162">
        <v>0</v>
      </c>
      <c r="V162">
        <v>120</v>
      </c>
      <c r="W162" t="s">
        <v>47</v>
      </c>
      <c r="X162" s="6" t="s">
        <v>292</v>
      </c>
    </row>
    <row r="163" spans="1:24" hidden="1" x14ac:dyDescent="0.25">
      <c r="A163" t="s">
        <v>352</v>
      </c>
      <c r="B163" t="s">
        <v>128</v>
      </c>
      <c r="C163" t="s">
        <v>24</v>
      </c>
      <c r="D163">
        <v>73</v>
      </c>
      <c r="E163" t="s">
        <v>353</v>
      </c>
      <c r="F163" t="s">
        <v>50</v>
      </c>
      <c r="G163" t="s">
        <v>36</v>
      </c>
      <c r="H163" t="str">
        <f>INDEX(Table1[Diagnosis],MATCH(I163,'codeand diagnosis'!$A$2:$A$11,0))</f>
        <v>Dental examination</v>
      </c>
      <c r="I163" t="s">
        <v>45</v>
      </c>
      <c r="J163" t="str">
        <f>INDEX(Table1[ICD-10 Code],MATCH(Table2[[#This Row],[Treatment]],Table1[Treatment Type],0))</f>
        <v>Z01.2</v>
      </c>
      <c r="K163" t="s">
        <v>28</v>
      </c>
      <c r="L163" t="s">
        <v>28</v>
      </c>
      <c r="M163" t="s">
        <v>29</v>
      </c>
      <c r="N163">
        <f>Table2[[#This Row],[Total Paid]]+Table2[[#This Row],[Due]]</f>
        <v>200</v>
      </c>
      <c r="O163">
        <v>0</v>
      </c>
      <c r="P163">
        <v>0</v>
      </c>
      <c r="Q163">
        <v>200</v>
      </c>
      <c r="R163">
        <v>0</v>
      </c>
      <c r="S163">
        <v>0</v>
      </c>
      <c r="T163">
        <v>200</v>
      </c>
      <c r="U163">
        <v>0</v>
      </c>
      <c r="V163">
        <v>200</v>
      </c>
      <c r="W163" t="s">
        <v>51</v>
      </c>
      <c r="X163" s="6" t="s">
        <v>292</v>
      </c>
    </row>
    <row r="164" spans="1:24" hidden="1" x14ac:dyDescent="0.25">
      <c r="A164" t="s">
        <v>354</v>
      </c>
      <c r="B164" t="s">
        <v>144</v>
      </c>
      <c r="C164" t="s">
        <v>24</v>
      </c>
      <c r="D164">
        <v>13</v>
      </c>
      <c r="E164" t="s">
        <v>353</v>
      </c>
      <c r="F164" t="s">
        <v>35</v>
      </c>
      <c r="G164" t="s">
        <v>36</v>
      </c>
      <c r="H164" t="str">
        <f>INDEX(Table1[Diagnosis],MATCH(I164,'codeand diagnosis'!$A$2:$A$11,0))</f>
        <v>Dental caries</v>
      </c>
      <c r="I164" t="s">
        <v>41</v>
      </c>
      <c r="J164" t="str">
        <f>INDEX(Table1[ICD-10 Code],MATCH(Table2[[#This Row],[Treatment]],Table1[Treatment Type],0))</f>
        <v>K02.9</v>
      </c>
      <c r="K164" t="s">
        <v>28</v>
      </c>
      <c r="L164" t="s">
        <v>28</v>
      </c>
      <c r="M164" t="s">
        <v>29</v>
      </c>
      <c r="N164">
        <f>Table2[[#This Row],[Total Paid]]+Table2[[#This Row],[Due]]</f>
        <v>462</v>
      </c>
      <c r="O164">
        <v>770</v>
      </c>
      <c r="P164">
        <v>0</v>
      </c>
      <c r="Q164">
        <v>0</v>
      </c>
      <c r="R164">
        <v>0</v>
      </c>
      <c r="S164">
        <v>308</v>
      </c>
      <c r="T164">
        <v>462</v>
      </c>
      <c r="U164">
        <v>0</v>
      </c>
      <c r="V164">
        <v>462</v>
      </c>
      <c r="W164" t="s">
        <v>47</v>
      </c>
      <c r="X164" s="6" t="s">
        <v>292</v>
      </c>
    </row>
    <row r="165" spans="1:24" hidden="1" x14ac:dyDescent="0.25">
      <c r="A165" t="s">
        <v>355</v>
      </c>
      <c r="B165" t="s">
        <v>63</v>
      </c>
      <c r="C165" t="s">
        <v>24</v>
      </c>
      <c r="D165">
        <v>53</v>
      </c>
      <c r="E165" s="1">
        <v>44931</v>
      </c>
      <c r="F165" t="s">
        <v>50</v>
      </c>
      <c r="G165" t="s">
        <v>26</v>
      </c>
      <c r="H165" t="str">
        <f>INDEX(Table1[Diagnosis],MATCH(I165,'codeand diagnosis'!$A$2:$A$11,0))</f>
        <v>Dental examination</v>
      </c>
      <c r="I165" t="s">
        <v>45</v>
      </c>
      <c r="J165" t="str">
        <f>INDEX(Table1[ICD-10 Code],MATCH(Table2[[#This Row],[Treatment]],Table1[Treatment Type],0))</f>
        <v>Z01.2</v>
      </c>
      <c r="K165" t="s">
        <v>28</v>
      </c>
      <c r="L165" t="s">
        <v>28</v>
      </c>
      <c r="M165" t="s">
        <v>29</v>
      </c>
      <c r="N165">
        <f>Table2[[#This Row],[Total Paid]]+Table2[[#This Row],[Due]]</f>
        <v>200</v>
      </c>
      <c r="O165">
        <v>0</v>
      </c>
      <c r="P165">
        <v>0</v>
      </c>
      <c r="Q165">
        <v>200</v>
      </c>
      <c r="R165">
        <v>0</v>
      </c>
      <c r="S165">
        <v>0</v>
      </c>
      <c r="T165">
        <v>200</v>
      </c>
      <c r="U165">
        <v>0</v>
      </c>
      <c r="V165">
        <v>200</v>
      </c>
      <c r="W165" t="s">
        <v>51</v>
      </c>
      <c r="X165" s="6" t="s">
        <v>356</v>
      </c>
    </row>
    <row r="166" spans="1:24" hidden="1" x14ac:dyDescent="0.25">
      <c r="A166" t="s">
        <v>357</v>
      </c>
      <c r="B166" t="s">
        <v>224</v>
      </c>
      <c r="C166" t="s">
        <v>34</v>
      </c>
      <c r="D166">
        <v>19</v>
      </c>
      <c r="E166" s="1">
        <v>44962</v>
      </c>
      <c r="F166" t="s">
        <v>88</v>
      </c>
      <c r="G166" t="s">
        <v>26</v>
      </c>
      <c r="H166" t="str">
        <f>INDEX(Table1[Diagnosis],MATCH(I166,'codeand diagnosis'!$A$2:$A$11,0))</f>
        <v>Pulpitis</v>
      </c>
      <c r="I166" t="s">
        <v>111</v>
      </c>
      <c r="J166" t="str">
        <f>INDEX(Table1[ICD-10 Code],MATCH(Table2[[#This Row],[Treatment]],Table1[Treatment Type],0))</f>
        <v>K04.0</v>
      </c>
      <c r="K166" t="s">
        <v>28</v>
      </c>
      <c r="L166" t="s">
        <v>38</v>
      </c>
      <c r="M166" t="s">
        <v>29</v>
      </c>
      <c r="N166">
        <f>Table2[[#This Row],[Total Paid]]+Table2[[#This Row],[Due]]</f>
        <v>3085</v>
      </c>
      <c r="O166">
        <v>3085</v>
      </c>
      <c r="P166">
        <v>0</v>
      </c>
      <c r="Q166">
        <v>0</v>
      </c>
      <c r="R166">
        <v>0</v>
      </c>
      <c r="S166">
        <v>0</v>
      </c>
      <c r="T166">
        <v>3085</v>
      </c>
      <c r="U166">
        <v>0</v>
      </c>
      <c r="V166">
        <v>3085</v>
      </c>
      <c r="W166" t="s">
        <v>51</v>
      </c>
      <c r="X166" s="6" t="s">
        <v>356</v>
      </c>
    </row>
    <row r="167" spans="1:24" hidden="1" x14ac:dyDescent="0.25">
      <c r="A167" t="s">
        <v>358</v>
      </c>
      <c r="B167" t="s">
        <v>91</v>
      </c>
      <c r="C167" t="s">
        <v>34</v>
      </c>
      <c r="D167">
        <v>31</v>
      </c>
      <c r="E167" s="1">
        <v>44962</v>
      </c>
      <c r="F167" t="s">
        <v>359</v>
      </c>
      <c r="G167" t="s">
        <v>36</v>
      </c>
      <c r="H167" t="str">
        <f>INDEX(Table1[Diagnosis],MATCH(I167,'codeand diagnosis'!$A$2:$A$11,0))</f>
        <v>Dental examination with radiology</v>
      </c>
      <c r="I167" t="s">
        <v>37</v>
      </c>
      <c r="J167" t="str">
        <f>INDEX(Table1[ICD-10 Code],MATCH(Table2[[#This Row],[Treatment]],Table1[Treatment Type],0))</f>
        <v>Z01.2</v>
      </c>
      <c r="K167" t="s">
        <v>28</v>
      </c>
      <c r="L167" t="s">
        <v>38</v>
      </c>
      <c r="M167" t="s">
        <v>46</v>
      </c>
      <c r="N167">
        <f>Table2[[#This Row],[Total Paid]]+Table2[[#This Row],[Due]]</f>
        <v>350</v>
      </c>
      <c r="O167">
        <v>0</v>
      </c>
      <c r="P167">
        <v>150</v>
      </c>
      <c r="Q167">
        <v>200</v>
      </c>
      <c r="R167">
        <v>0</v>
      </c>
      <c r="S167">
        <v>0</v>
      </c>
      <c r="T167">
        <v>350</v>
      </c>
      <c r="U167">
        <v>0</v>
      </c>
      <c r="V167">
        <v>350</v>
      </c>
      <c r="W167" t="s">
        <v>42</v>
      </c>
      <c r="X167" s="6" t="s">
        <v>356</v>
      </c>
    </row>
    <row r="168" spans="1:24" hidden="1" x14ac:dyDescent="0.25">
      <c r="A168" t="s">
        <v>360</v>
      </c>
      <c r="B168" t="s">
        <v>361</v>
      </c>
      <c r="C168" t="s">
        <v>34</v>
      </c>
      <c r="D168">
        <v>15</v>
      </c>
      <c r="E168" s="1">
        <v>44962</v>
      </c>
      <c r="F168" t="s">
        <v>50</v>
      </c>
      <c r="G168" t="s">
        <v>36</v>
      </c>
      <c r="H168" t="str">
        <f>INDEX(Table1[Diagnosis],MATCH(I168,'codeand diagnosis'!$A$2:$A$11,0))</f>
        <v>Dental examination</v>
      </c>
      <c r="I168" t="s">
        <v>45</v>
      </c>
      <c r="J168" t="str">
        <f>INDEX(Table1[ICD-10 Code],MATCH(Table2[[#This Row],[Treatment]],Table1[Treatment Type],0))</f>
        <v>Z01.2</v>
      </c>
      <c r="K168" t="s">
        <v>28</v>
      </c>
      <c r="L168" t="s">
        <v>28</v>
      </c>
      <c r="M168" t="s">
        <v>29</v>
      </c>
      <c r="N168">
        <f>Table2[[#This Row],[Total Paid]]+Table2[[#This Row],[Due]]</f>
        <v>200</v>
      </c>
      <c r="O168">
        <v>0</v>
      </c>
      <c r="P168">
        <v>0</v>
      </c>
      <c r="Q168">
        <v>200</v>
      </c>
      <c r="R168">
        <v>0</v>
      </c>
      <c r="S168">
        <v>0</v>
      </c>
      <c r="T168">
        <v>200</v>
      </c>
      <c r="U168">
        <v>0</v>
      </c>
      <c r="V168">
        <v>200</v>
      </c>
      <c r="W168" t="s">
        <v>51</v>
      </c>
      <c r="X168" s="6" t="s">
        <v>356</v>
      </c>
    </row>
    <row r="169" spans="1:24" hidden="1" x14ac:dyDescent="0.25">
      <c r="A169" t="s">
        <v>362</v>
      </c>
      <c r="B169" t="s">
        <v>363</v>
      </c>
      <c r="C169" t="s">
        <v>34</v>
      </c>
      <c r="D169">
        <v>10</v>
      </c>
      <c r="E169" s="1">
        <v>45021</v>
      </c>
      <c r="F169" t="s">
        <v>35</v>
      </c>
      <c r="G169" t="s">
        <v>26</v>
      </c>
      <c r="H169" t="str">
        <f>INDEX(Table1[Diagnosis],MATCH(I169,'codeand diagnosis'!$A$2:$A$11,0))</f>
        <v>Dental examination with radiology</v>
      </c>
      <c r="I169" t="s">
        <v>37</v>
      </c>
      <c r="J169" t="str">
        <f>INDEX(Table1[ICD-10 Code],MATCH(Table2[[#This Row],[Treatment]],Table1[Treatment Type],0))</f>
        <v>Z01.2</v>
      </c>
      <c r="K169" t="s">
        <v>28</v>
      </c>
      <c r="L169" t="s">
        <v>38</v>
      </c>
      <c r="M169" t="s">
        <v>29</v>
      </c>
      <c r="N169">
        <f>Table2[[#This Row],[Total Paid]]+Table2[[#This Row],[Due]]</f>
        <v>210</v>
      </c>
      <c r="O169">
        <v>0</v>
      </c>
      <c r="P169">
        <v>150</v>
      </c>
      <c r="Q169">
        <v>200</v>
      </c>
      <c r="R169">
        <v>0</v>
      </c>
      <c r="S169">
        <v>140</v>
      </c>
      <c r="T169">
        <v>210</v>
      </c>
      <c r="U169">
        <v>0</v>
      </c>
      <c r="V169">
        <v>210</v>
      </c>
      <c r="W169" t="s">
        <v>51</v>
      </c>
      <c r="X169" s="6" t="s">
        <v>356</v>
      </c>
    </row>
    <row r="170" spans="1:24" hidden="1" x14ac:dyDescent="0.25">
      <c r="A170" t="s">
        <v>364</v>
      </c>
      <c r="B170" t="s">
        <v>365</v>
      </c>
      <c r="C170" t="s">
        <v>24</v>
      </c>
      <c r="D170">
        <v>37</v>
      </c>
      <c r="E170" s="1">
        <v>45021</v>
      </c>
      <c r="F170" t="s">
        <v>359</v>
      </c>
      <c r="G170" t="s">
        <v>36</v>
      </c>
      <c r="H170" t="str">
        <f>INDEX(Table1[Diagnosis],MATCH(I170,'codeand diagnosis'!$A$2:$A$11,0))</f>
        <v>Gingivitis</v>
      </c>
      <c r="I170" t="s">
        <v>27</v>
      </c>
      <c r="J170" t="str">
        <f>INDEX(Table1[ICD-10 Code],MATCH(Table2[[#This Row],[Treatment]],Table1[Treatment Type],0))</f>
        <v>K05.10</v>
      </c>
      <c r="K170" t="s">
        <v>28</v>
      </c>
      <c r="L170" t="s">
        <v>28</v>
      </c>
      <c r="M170" t="s">
        <v>29</v>
      </c>
      <c r="N170">
        <f>Table2[[#This Row],[Total Paid]]+Table2[[#This Row],[Due]]</f>
        <v>527</v>
      </c>
      <c r="O170">
        <v>527</v>
      </c>
      <c r="P170">
        <v>0</v>
      </c>
      <c r="Q170">
        <v>0</v>
      </c>
      <c r="R170">
        <v>0</v>
      </c>
      <c r="S170">
        <v>0</v>
      </c>
      <c r="T170">
        <v>527</v>
      </c>
      <c r="U170">
        <v>0</v>
      </c>
      <c r="V170">
        <v>527</v>
      </c>
      <c r="W170" t="s">
        <v>51</v>
      </c>
      <c r="X170" s="6" t="s">
        <v>356</v>
      </c>
    </row>
    <row r="171" spans="1:24" hidden="1" x14ac:dyDescent="0.25">
      <c r="A171" t="s">
        <v>366</v>
      </c>
      <c r="B171" t="s">
        <v>115</v>
      </c>
      <c r="C171" t="s">
        <v>24</v>
      </c>
      <c r="D171">
        <v>51</v>
      </c>
      <c r="E171" s="1">
        <v>45051</v>
      </c>
      <c r="F171" t="s">
        <v>35</v>
      </c>
      <c r="G171" t="s">
        <v>26</v>
      </c>
      <c r="H171" t="str">
        <f>INDEX(Table1[Diagnosis],MATCH(I171,'codeand diagnosis'!$A$2:$A$11,0))</f>
        <v>Gingivitis</v>
      </c>
      <c r="I171" t="s">
        <v>27</v>
      </c>
      <c r="J171" t="str">
        <f>INDEX(Table1[ICD-10 Code],MATCH(Table2[[#This Row],[Treatment]],Table1[Treatment Type],0))</f>
        <v>K05.10</v>
      </c>
      <c r="K171" t="s">
        <v>28</v>
      </c>
      <c r="L171" t="s">
        <v>38</v>
      </c>
      <c r="M171" t="s">
        <v>29</v>
      </c>
      <c r="N171">
        <f>Table2[[#This Row],[Total Paid]]+Table2[[#This Row],[Due]]</f>
        <v>426</v>
      </c>
      <c r="O171">
        <v>426</v>
      </c>
      <c r="P171">
        <v>0</v>
      </c>
      <c r="Q171">
        <v>0</v>
      </c>
      <c r="R171">
        <v>0</v>
      </c>
      <c r="S171">
        <v>0</v>
      </c>
      <c r="T171">
        <v>426</v>
      </c>
      <c r="U171">
        <v>0</v>
      </c>
      <c r="V171">
        <v>426</v>
      </c>
      <c r="W171" t="s">
        <v>51</v>
      </c>
      <c r="X171" s="6" t="s">
        <v>356</v>
      </c>
    </row>
    <row r="172" spans="1:24" hidden="1" x14ac:dyDescent="0.25">
      <c r="A172" t="s">
        <v>367</v>
      </c>
      <c r="B172" t="s">
        <v>188</v>
      </c>
      <c r="C172" t="s">
        <v>34</v>
      </c>
      <c r="D172">
        <v>62</v>
      </c>
      <c r="E172" s="1">
        <v>45051</v>
      </c>
      <c r="F172" t="s">
        <v>132</v>
      </c>
      <c r="G172" t="s">
        <v>36</v>
      </c>
      <c r="H172" t="str">
        <f>INDEX(Table1[Diagnosis],MATCH(I172,'codeand diagnosis'!$A$2:$A$11,0))</f>
        <v>Dental examination with radiology</v>
      </c>
      <c r="I172" t="s">
        <v>37</v>
      </c>
      <c r="J172" t="str">
        <f>INDEX(Table1[ICD-10 Code],MATCH(Table2[[#This Row],[Treatment]],Table1[Treatment Type],0))</f>
        <v>Z01.2</v>
      </c>
      <c r="K172" t="s">
        <v>28</v>
      </c>
      <c r="L172" t="s">
        <v>38</v>
      </c>
      <c r="M172" t="s">
        <v>29</v>
      </c>
      <c r="N172">
        <f>Table2[[#This Row],[Total Paid]]+Table2[[#This Row],[Due]]</f>
        <v>350</v>
      </c>
      <c r="O172">
        <v>0</v>
      </c>
      <c r="P172">
        <v>150</v>
      </c>
      <c r="Q172">
        <v>200</v>
      </c>
      <c r="R172">
        <v>0</v>
      </c>
      <c r="S172">
        <v>0</v>
      </c>
      <c r="T172">
        <v>350</v>
      </c>
      <c r="U172">
        <v>0</v>
      </c>
      <c r="V172">
        <v>350</v>
      </c>
      <c r="W172" t="s">
        <v>51</v>
      </c>
      <c r="X172" s="6" t="s">
        <v>356</v>
      </c>
    </row>
    <row r="173" spans="1:24" hidden="1" x14ac:dyDescent="0.25">
      <c r="A173" t="s">
        <v>368</v>
      </c>
      <c r="B173" t="s">
        <v>369</v>
      </c>
      <c r="C173" t="s">
        <v>24</v>
      </c>
      <c r="D173">
        <v>25</v>
      </c>
      <c r="E173" s="1">
        <v>45082</v>
      </c>
      <c r="F173" t="s">
        <v>359</v>
      </c>
      <c r="G173" t="s">
        <v>26</v>
      </c>
      <c r="H173" t="str">
        <f>INDEX(Table1[Diagnosis],MATCH(I173,'codeand diagnosis'!$A$2:$A$11,0))</f>
        <v>Dental examination with radiology</v>
      </c>
      <c r="I173" t="s">
        <v>37</v>
      </c>
      <c r="J173" t="str">
        <f>INDEX(Table1[ICD-10 Code],MATCH(Table2[[#This Row],[Treatment]],Table1[Treatment Type],0))</f>
        <v>Z01.2</v>
      </c>
      <c r="K173" t="s">
        <v>28</v>
      </c>
      <c r="L173" t="s">
        <v>38</v>
      </c>
      <c r="M173" t="s">
        <v>29</v>
      </c>
      <c r="N173">
        <f>Table2[[#This Row],[Total Paid]]+Table2[[#This Row],[Due]]</f>
        <v>350</v>
      </c>
      <c r="O173">
        <v>0</v>
      </c>
      <c r="P173">
        <v>150</v>
      </c>
      <c r="Q173">
        <v>200</v>
      </c>
      <c r="R173">
        <v>0</v>
      </c>
      <c r="S173">
        <v>0</v>
      </c>
      <c r="T173">
        <v>350</v>
      </c>
      <c r="U173">
        <v>0</v>
      </c>
      <c r="V173">
        <v>350</v>
      </c>
      <c r="W173" t="s">
        <v>51</v>
      </c>
      <c r="X173" s="6" t="s">
        <v>356</v>
      </c>
    </row>
    <row r="174" spans="1:24" hidden="1" x14ac:dyDescent="0.25">
      <c r="A174" t="s">
        <v>370</v>
      </c>
      <c r="B174" t="s">
        <v>177</v>
      </c>
      <c r="C174" t="s">
        <v>34</v>
      </c>
      <c r="D174">
        <v>72</v>
      </c>
      <c r="E174" s="1">
        <v>45082</v>
      </c>
      <c r="F174" t="s">
        <v>50</v>
      </c>
      <c r="G174" t="s">
        <v>26</v>
      </c>
      <c r="H174" t="str">
        <f>INDEX(Table1[Diagnosis],MATCH(I174,'codeand diagnosis'!$A$2:$A$11,0))</f>
        <v>Dental examination with radiology</v>
      </c>
      <c r="I174" t="s">
        <v>37</v>
      </c>
      <c r="J174" t="str">
        <f>INDEX(Table1[ICD-10 Code],MATCH(Table2[[#This Row],[Treatment]],Table1[Treatment Type],0))</f>
        <v>Z01.2</v>
      </c>
      <c r="K174" t="s">
        <v>28</v>
      </c>
      <c r="L174" t="s">
        <v>38</v>
      </c>
      <c r="M174" t="s">
        <v>29</v>
      </c>
      <c r="N174">
        <f>Table2[[#This Row],[Total Paid]]+Table2[[#This Row],[Due]]</f>
        <v>350</v>
      </c>
      <c r="O174">
        <v>0</v>
      </c>
      <c r="P174">
        <v>150</v>
      </c>
      <c r="Q174">
        <v>200</v>
      </c>
      <c r="R174">
        <v>0</v>
      </c>
      <c r="S174">
        <v>0</v>
      </c>
      <c r="T174">
        <v>350</v>
      </c>
      <c r="U174">
        <v>0</v>
      </c>
      <c r="V174">
        <v>350</v>
      </c>
      <c r="W174" t="s">
        <v>51</v>
      </c>
      <c r="X174" s="6" t="s">
        <v>356</v>
      </c>
    </row>
    <row r="175" spans="1:24" hidden="1" x14ac:dyDescent="0.25">
      <c r="A175" t="s">
        <v>371</v>
      </c>
      <c r="B175" t="s">
        <v>268</v>
      </c>
      <c r="C175" t="s">
        <v>34</v>
      </c>
      <c r="D175">
        <v>61</v>
      </c>
      <c r="E175" s="1">
        <v>45143</v>
      </c>
      <c r="F175" t="s">
        <v>88</v>
      </c>
      <c r="G175" t="s">
        <v>36</v>
      </c>
      <c r="H175" t="str">
        <f>INDEX(Table1[Diagnosis],MATCH(I175,'codeand diagnosis'!$A$2:$A$11,0))</f>
        <v>Retained dental root</v>
      </c>
      <c r="I175" t="s">
        <v>145</v>
      </c>
      <c r="J175" t="str">
        <f>INDEX(Table1[ICD-10 Code],MATCH(Table2[[#This Row],[Treatment]],Table1[Treatment Type],0))</f>
        <v>K08.3</v>
      </c>
      <c r="K175" t="s">
        <v>28</v>
      </c>
      <c r="L175" t="s">
        <v>38</v>
      </c>
      <c r="M175" t="s">
        <v>29</v>
      </c>
      <c r="N175">
        <f>Table2[[#This Row],[Total Paid]]+Table2[[#This Row],[Due]]</f>
        <v>3319</v>
      </c>
      <c r="O175">
        <v>3319</v>
      </c>
      <c r="P175">
        <v>0</v>
      </c>
      <c r="Q175">
        <v>0</v>
      </c>
      <c r="R175">
        <v>1010</v>
      </c>
      <c r="S175">
        <v>0</v>
      </c>
      <c r="T175">
        <v>3319</v>
      </c>
      <c r="U175">
        <v>0</v>
      </c>
      <c r="V175">
        <v>2309</v>
      </c>
      <c r="W175" t="s">
        <v>42</v>
      </c>
      <c r="X175" s="6" t="s">
        <v>356</v>
      </c>
    </row>
    <row r="176" spans="1:24" hidden="1" x14ac:dyDescent="0.25">
      <c r="A176" t="s">
        <v>372</v>
      </c>
      <c r="B176" t="s">
        <v>80</v>
      </c>
      <c r="C176" t="s">
        <v>34</v>
      </c>
      <c r="D176">
        <v>37</v>
      </c>
      <c r="E176" s="1">
        <v>45143</v>
      </c>
      <c r="F176" t="s">
        <v>50</v>
      </c>
      <c r="G176" t="s">
        <v>36</v>
      </c>
      <c r="H176" t="str">
        <f>INDEX(Table1[Diagnosis],MATCH(I176,'codeand diagnosis'!$A$2:$A$11,0))</f>
        <v>Dental examination</v>
      </c>
      <c r="I176" t="s">
        <v>45</v>
      </c>
      <c r="J176" t="str">
        <f>INDEX(Table1[ICD-10 Code],MATCH(Table2[[#This Row],[Treatment]],Table1[Treatment Type],0))</f>
        <v>Z01.2</v>
      </c>
      <c r="K176" t="s">
        <v>28</v>
      </c>
      <c r="L176" t="s">
        <v>28</v>
      </c>
      <c r="M176" t="s">
        <v>61</v>
      </c>
      <c r="N176">
        <f>Table2[[#This Row],[Total Paid]]+Table2[[#This Row],[Due]]</f>
        <v>200</v>
      </c>
      <c r="O176">
        <v>0</v>
      </c>
      <c r="P176">
        <v>0</v>
      </c>
      <c r="Q176">
        <v>200</v>
      </c>
      <c r="R176">
        <v>0</v>
      </c>
      <c r="S176">
        <v>0</v>
      </c>
      <c r="T176">
        <v>200</v>
      </c>
      <c r="U176">
        <v>0</v>
      </c>
      <c r="V176">
        <v>200</v>
      </c>
      <c r="W176" t="s">
        <v>47</v>
      </c>
      <c r="X176" s="6" t="s">
        <v>356</v>
      </c>
    </row>
    <row r="177" spans="1:24" x14ac:dyDescent="0.25">
      <c r="A177" t="s">
        <v>373</v>
      </c>
      <c r="B177" t="s">
        <v>374</v>
      </c>
      <c r="C177" t="s">
        <v>34</v>
      </c>
      <c r="D177">
        <v>5</v>
      </c>
      <c r="E177" s="1">
        <v>45143</v>
      </c>
      <c r="F177" t="s">
        <v>132</v>
      </c>
      <c r="G177" t="s">
        <v>26</v>
      </c>
      <c r="H177" t="str">
        <f>INDEX(Table1[Diagnosis],MATCH(I177,'codeand diagnosis'!$A$2:$A$11,0))</f>
        <v>Missing teeth</v>
      </c>
      <c r="I177" t="s">
        <v>78</v>
      </c>
      <c r="J177" t="str">
        <f>INDEX(Table1[ICD-10 Code],MATCH(Table2[[#This Row],[Treatment]],Table1[Treatment Type],0))</f>
        <v>K08.1</v>
      </c>
      <c r="K177" t="s">
        <v>28</v>
      </c>
      <c r="L177" t="s">
        <v>38</v>
      </c>
      <c r="M177" t="s">
        <v>29</v>
      </c>
      <c r="N177">
        <f>Table2[[#This Row],[Total Paid]]+Table2[[#This Row],[Due]]</f>
        <v>25228</v>
      </c>
      <c r="O177">
        <v>25228</v>
      </c>
      <c r="P177">
        <v>0</v>
      </c>
      <c r="Q177">
        <v>0</v>
      </c>
      <c r="R177">
        <v>7260</v>
      </c>
      <c r="S177">
        <v>0</v>
      </c>
      <c r="T177">
        <v>25228</v>
      </c>
      <c r="U177">
        <v>0</v>
      </c>
      <c r="V177">
        <v>17968</v>
      </c>
      <c r="W177" t="s">
        <v>42</v>
      </c>
      <c r="X177" s="6" t="s">
        <v>356</v>
      </c>
    </row>
    <row r="178" spans="1:24" hidden="1" x14ac:dyDescent="0.25">
      <c r="A178" t="s">
        <v>375</v>
      </c>
      <c r="B178" t="s">
        <v>91</v>
      </c>
      <c r="C178" t="s">
        <v>34</v>
      </c>
      <c r="D178">
        <v>70</v>
      </c>
      <c r="E178" s="1">
        <v>45174</v>
      </c>
      <c r="F178" t="s">
        <v>92</v>
      </c>
      <c r="G178" t="s">
        <v>26</v>
      </c>
      <c r="H178" t="str">
        <f>INDEX(Table1[Diagnosis],MATCH(I178,'codeand diagnosis'!$A$2:$A$11,0))</f>
        <v>Pulpitis</v>
      </c>
      <c r="I178" t="s">
        <v>111</v>
      </c>
      <c r="J178" t="str">
        <f>INDEX(Table1[ICD-10 Code],MATCH(Table2[[#This Row],[Treatment]],Table1[Treatment Type],0))</f>
        <v>K04.0</v>
      </c>
      <c r="K178" t="s">
        <v>28</v>
      </c>
      <c r="L178" t="s">
        <v>38</v>
      </c>
      <c r="M178" t="s">
        <v>46</v>
      </c>
      <c r="N178">
        <f>Table2[[#This Row],[Total Paid]]+Table2[[#This Row],[Due]]</f>
        <v>4028</v>
      </c>
      <c r="O178">
        <v>4028</v>
      </c>
      <c r="P178">
        <v>0</v>
      </c>
      <c r="Q178">
        <v>0</v>
      </c>
      <c r="R178">
        <v>0</v>
      </c>
      <c r="S178">
        <v>0</v>
      </c>
      <c r="T178">
        <v>4028</v>
      </c>
      <c r="U178">
        <v>0</v>
      </c>
      <c r="V178">
        <v>4028</v>
      </c>
      <c r="W178" t="s">
        <v>51</v>
      </c>
      <c r="X178" s="6" t="s">
        <v>356</v>
      </c>
    </row>
    <row r="179" spans="1:24" hidden="1" x14ac:dyDescent="0.25">
      <c r="A179" t="s">
        <v>376</v>
      </c>
      <c r="B179" t="s">
        <v>374</v>
      </c>
      <c r="C179" t="s">
        <v>34</v>
      </c>
      <c r="D179">
        <v>71</v>
      </c>
      <c r="E179" s="1">
        <v>45174</v>
      </c>
      <c r="F179" t="s">
        <v>25</v>
      </c>
      <c r="G179" t="s">
        <v>26</v>
      </c>
      <c r="H179" t="str">
        <f>INDEX(Table1[Diagnosis],MATCH(I179,'codeand diagnosis'!$A$2:$A$11,0))</f>
        <v>Dental examination</v>
      </c>
      <c r="I179" t="s">
        <v>45</v>
      </c>
      <c r="J179" t="str">
        <f>INDEX(Table1[ICD-10 Code],MATCH(Table2[[#This Row],[Treatment]],Table1[Treatment Type],0))</f>
        <v>Z01.2</v>
      </c>
      <c r="K179" t="s">
        <v>28</v>
      </c>
      <c r="L179" t="s">
        <v>28</v>
      </c>
      <c r="M179" t="s">
        <v>29</v>
      </c>
      <c r="N179">
        <f>Table2[[#This Row],[Total Paid]]+Table2[[#This Row],[Due]]</f>
        <v>200</v>
      </c>
      <c r="O179">
        <v>0</v>
      </c>
      <c r="P179">
        <v>0</v>
      </c>
      <c r="Q179">
        <v>200</v>
      </c>
      <c r="R179">
        <v>0</v>
      </c>
      <c r="S179">
        <v>0</v>
      </c>
      <c r="T179">
        <v>200</v>
      </c>
      <c r="U179">
        <v>0</v>
      </c>
      <c r="V179">
        <v>200</v>
      </c>
      <c r="W179" t="s">
        <v>51</v>
      </c>
      <c r="X179" s="6" t="s">
        <v>356</v>
      </c>
    </row>
    <row r="180" spans="1:24" hidden="1" x14ac:dyDescent="0.25">
      <c r="A180" t="s">
        <v>377</v>
      </c>
      <c r="B180" t="s">
        <v>294</v>
      </c>
      <c r="C180" t="s">
        <v>34</v>
      </c>
      <c r="D180">
        <v>57</v>
      </c>
      <c r="E180" s="1">
        <v>45204</v>
      </c>
      <c r="F180" t="s">
        <v>35</v>
      </c>
      <c r="G180" t="s">
        <v>26</v>
      </c>
      <c r="H180" t="str">
        <f>INDEX(Table1[Diagnosis],MATCH(I180,'codeand diagnosis'!$A$2:$A$11,0))</f>
        <v>Cosmetic procedure</v>
      </c>
      <c r="I180" t="s">
        <v>55</v>
      </c>
      <c r="J180" t="str">
        <f>INDEX(Table1[ICD-10 Code],MATCH(Table2[[#This Row],[Treatment]],Table1[Treatment Type],0))</f>
        <v>Z41.1</v>
      </c>
      <c r="K180" t="s">
        <v>28</v>
      </c>
      <c r="L180" t="s">
        <v>38</v>
      </c>
      <c r="M180" t="s">
        <v>29</v>
      </c>
      <c r="N180">
        <f>Table2[[#This Row],[Total Paid]]+Table2[[#This Row],[Due]]</f>
        <v>923.4</v>
      </c>
      <c r="O180">
        <v>1539</v>
      </c>
      <c r="P180">
        <v>0</v>
      </c>
      <c r="Q180">
        <v>0</v>
      </c>
      <c r="R180">
        <v>0</v>
      </c>
      <c r="S180">
        <v>615.6</v>
      </c>
      <c r="T180">
        <v>923.4</v>
      </c>
      <c r="U180">
        <v>0</v>
      </c>
      <c r="V180">
        <v>923.4</v>
      </c>
      <c r="W180" t="s">
        <v>47</v>
      </c>
      <c r="X180" s="6" t="s">
        <v>356</v>
      </c>
    </row>
    <row r="181" spans="1:24" x14ac:dyDescent="0.25">
      <c r="A181" t="s">
        <v>378</v>
      </c>
      <c r="B181" t="s">
        <v>137</v>
      </c>
      <c r="C181" t="s">
        <v>24</v>
      </c>
      <c r="D181">
        <v>5</v>
      </c>
      <c r="E181" s="1">
        <v>45235</v>
      </c>
      <c r="F181" t="s">
        <v>359</v>
      </c>
      <c r="G181" t="s">
        <v>26</v>
      </c>
      <c r="H181" t="str">
        <f>INDEX(Table1[Diagnosis],MATCH(I181,'codeand diagnosis'!$A$2:$A$11,0))</f>
        <v>Dental examination</v>
      </c>
      <c r="I181" t="s">
        <v>45</v>
      </c>
      <c r="J181" t="str">
        <f>INDEX(Table1[ICD-10 Code],MATCH(Table2[[#This Row],[Treatment]],Table1[Treatment Type],0))</f>
        <v>Z01.2</v>
      </c>
      <c r="K181" t="s">
        <v>28</v>
      </c>
      <c r="L181" t="s">
        <v>28</v>
      </c>
      <c r="M181" t="s">
        <v>46</v>
      </c>
      <c r="N181">
        <f>Table2[[#This Row],[Total Paid]]+Table2[[#This Row],[Due]]</f>
        <v>200</v>
      </c>
      <c r="O181">
        <v>0</v>
      </c>
      <c r="P181">
        <v>0</v>
      </c>
      <c r="Q181">
        <v>200</v>
      </c>
      <c r="R181">
        <v>0</v>
      </c>
      <c r="S181">
        <v>0</v>
      </c>
      <c r="T181">
        <v>200</v>
      </c>
      <c r="U181">
        <v>0</v>
      </c>
      <c r="V181">
        <v>200</v>
      </c>
      <c r="W181" t="s">
        <v>51</v>
      </c>
      <c r="X181" s="6" t="s">
        <v>356</v>
      </c>
    </row>
    <row r="182" spans="1:24" hidden="1" x14ac:dyDescent="0.25">
      <c r="A182" t="s">
        <v>379</v>
      </c>
      <c r="B182" t="s">
        <v>296</v>
      </c>
      <c r="C182" t="s">
        <v>24</v>
      </c>
      <c r="D182">
        <v>11</v>
      </c>
      <c r="E182" s="1">
        <v>45265</v>
      </c>
      <c r="F182" t="s">
        <v>25</v>
      </c>
      <c r="G182" t="s">
        <v>26</v>
      </c>
      <c r="H182" t="str">
        <f>INDEX(Table1[Diagnosis],MATCH(I182,'codeand diagnosis'!$A$2:$A$11,0))</f>
        <v>Dental examination with radiology</v>
      </c>
      <c r="I182" t="s">
        <v>37</v>
      </c>
      <c r="J182" t="str">
        <f>INDEX(Table1[ICD-10 Code],MATCH(Table2[[#This Row],[Treatment]],Table1[Treatment Type],0))</f>
        <v>Z01.2</v>
      </c>
      <c r="K182" t="s">
        <v>28</v>
      </c>
      <c r="L182" t="s">
        <v>38</v>
      </c>
      <c r="M182" t="s">
        <v>61</v>
      </c>
      <c r="N182">
        <f>Table2[[#This Row],[Total Paid]]+Table2[[#This Row],[Due]]</f>
        <v>350</v>
      </c>
      <c r="O182">
        <v>0</v>
      </c>
      <c r="P182">
        <v>150</v>
      </c>
      <c r="Q182">
        <v>200</v>
      </c>
      <c r="R182">
        <v>0</v>
      </c>
      <c r="S182">
        <v>0</v>
      </c>
      <c r="T182">
        <v>350</v>
      </c>
      <c r="U182">
        <v>0</v>
      </c>
      <c r="V182">
        <v>350</v>
      </c>
      <c r="W182" t="s">
        <v>47</v>
      </c>
      <c r="X182" s="6" t="s">
        <v>356</v>
      </c>
    </row>
    <row r="183" spans="1:24" hidden="1" x14ac:dyDescent="0.25">
      <c r="A183" t="s">
        <v>380</v>
      </c>
      <c r="B183" t="s">
        <v>106</v>
      </c>
      <c r="C183" t="s">
        <v>24</v>
      </c>
      <c r="D183">
        <v>16</v>
      </c>
      <c r="E183" s="1">
        <v>45265</v>
      </c>
      <c r="F183" t="s">
        <v>50</v>
      </c>
      <c r="G183" t="s">
        <v>36</v>
      </c>
      <c r="H183" t="str">
        <f>INDEX(Table1[Diagnosis],MATCH(I183,'codeand diagnosis'!$A$2:$A$11,0))</f>
        <v>Dental examination</v>
      </c>
      <c r="I183" t="s">
        <v>45</v>
      </c>
      <c r="J183" t="str">
        <f>INDEX(Table1[ICD-10 Code],MATCH(Table2[[#This Row],[Treatment]],Table1[Treatment Type],0))</f>
        <v>Z01.2</v>
      </c>
      <c r="K183" t="s">
        <v>28</v>
      </c>
      <c r="L183" t="s">
        <v>28</v>
      </c>
      <c r="M183" t="s">
        <v>29</v>
      </c>
      <c r="N183">
        <f>Table2[[#This Row],[Total Paid]]+Table2[[#This Row],[Due]]</f>
        <v>150</v>
      </c>
      <c r="O183">
        <v>0</v>
      </c>
      <c r="P183">
        <v>0</v>
      </c>
      <c r="Q183">
        <v>200</v>
      </c>
      <c r="R183">
        <v>0</v>
      </c>
      <c r="S183">
        <v>50</v>
      </c>
      <c r="T183">
        <v>150</v>
      </c>
      <c r="U183">
        <v>0</v>
      </c>
      <c r="V183">
        <v>150</v>
      </c>
      <c r="W183" t="s">
        <v>42</v>
      </c>
      <c r="X183" s="6" t="s">
        <v>356</v>
      </c>
    </row>
    <row r="184" spans="1:24" hidden="1" x14ac:dyDescent="0.25">
      <c r="A184" t="s">
        <v>381</v>
      </c>
      <c r="B184" t="s">
        <v>207</v>
      </c>
      <c r="C184" t="s">
        <v>34</v>
      </c>
      <c r="D184">
        <v>6</v>
      </c>
      <c r="E184" t="s">
        <v>382</v>
      </c>
      <c r="F184" t="s">
        <v>54</v>
      </c>
      <c r="G184" t="s">
        <v>26</v>
      </c>
      <c r="H184" t="str">
        <f>INDEX(Table1[Diagnosis],MATCH(I184,'codeand diagnosis'!$A$2:$A$11,0))</f>
        <v>Dental examination with radiology</v>
      </c>
      <c r="I184" t="s">
        <v>37</v>
      </c>
      <c r="J184" t="str">
        <f>INDEX(Table1[ICD-10 Code],MATCH(Table2[[#This Row],[Treatment]],Table1[Treatment Type],0))</f>
        <v>Z01.2</v>
      </c>
      <c r="K184" t="s">
        <v>28</v>
      </c>
      <c r="L184" t="s">
        <v>38</v>
      </c>
      <c r="M184" t="s">
        <v>29</v>
      </c>
      <c r="N184">
        <f>Table2[[#This Row],[Total Paid]]+Table2[[#This Row],[Due]]</f>
        <v>350</v>
      </c>
      <c r="O184">
        <v>0</v>
      </c>
      <c r="P184">
        <v>150</v>
      </c>
      <c r="Q184">
        <v>200</v>
      </c>
      <c r="R184">
        <v>0</v>
      </c>
      <c r="S184">
        <v>0</v>
      </c>
      <c r="T184">
        <v>350</v>
      </c>
      <c r="U184">
        <v>0</v>
      </c>
      <c r="V184">
        <v>350</v>
      </c>
      <c r="W184" t="s">
        <v>30</v>
      </c>
      <c r="X184" s="6" t="s">
        <v>356</v>
      </c>
    </row>
    <row r="185" spans="1:24" hidden="1" x14ac:dyDescent="0.25">
      <c r="A185" t="s">
        <v>383</v>
      </c>
      <c r="B185" t="s">
        <v>73</v>
      </c>
      <c r="C185" t="s">
        <v>34</v>
      </c>
      <c r="D185">
        <v>45</v>
      </c>
      <c r="E185" t="s">
        <v>382</v>
      </c>
      <c r="F185" t="s">
        <v>50</v>
      </c>
      <c r="G185" t="s">
        <v>26</v>
      </c>
      <c r="H185" t="str">
        <f>INDEX(Table1[Diagnosis],MATCH(I185,'codeand diagnosis'!$A$2:$A$11,0))</f>
        <v>Dental examination with radiology</v>
      </c>
      <c r="I185" t="s">
        <v>37</v>
      </c>
      <c r="J185" t="str">
        <f>INDEX(Table1[ICD-10 Code],MATCH(Table2[[#This Row],[Treatment]],Table1[Treatment Type],0))</f>
        <v>Z01.2</v>
      </c>
      <c r="K185" t="s">
        <v>28</v>
      </c>
      <c r="L185" t="s">
        <v>38</v>
      </c>
      <c r="M185" t="s">
        <v>61</v>
      </c>
      <c r="N185">
        <f>Table2[[#This Row],[Total Paid]]+Table2[[#This Row],[Due]]</f>
        <v>350</v>
      </c>
      <c r="O185">
        <v>0</v>
      </c>
      <c r="P185">
        <v>150</v>
      </c>
      <c r="Q185">
        <v>200</v>
      </c>
      <c r="R185">
        <v>0</v>
      </c>
      <c r="S185">
        <v>0</v>
      </c>
      <c r="T185">
        <v>350</v>
      </c>
      <c r="U185">
        <v>0</v>
      </c>
      <c r="V185">
        <v>350</v>
      </c>
      <c r="W185" t="s">
        <v>42</v>
      </c>
      <c r="X185" s="6" t="s">
        <v>356</v>
      </c>
    </row>
    <row r="186" spans="1:24" hidden="1" x14ac:dyDescent="0.25">
      <c r="A186" t="s">
        <v>384</v>
      </c>
      <c r="B186" t="s">
        <v>365</v>
      </c>
      <c r="C186" t="s">
        <v>24</v>
      </c>
      <c r="D186">
        <v>17</v>
      </c>
      <c r="E186" t="s">
        <v>385</v>
      </c>
      <c r="F186" t="s">
        <v>35</v>
      </c>
      <c r="G186" t="s">
        <v>26</v>
      </c>
      <c r="H186" t="str">
        <f>INDEX(Table1[Diagnosis],MATCH(I186,'codeand diagnosis'!$A$2:$A$11,0))</f>
        <v>Dental examination</v>
      </c>
      <c r="I186" t="s">
        <v>45</v>
      </c>
      <c r="J186" t="str">
        <f>INDEX(Table1[ICD-10 Code],MATCH(Table2[[#This Row],[Treatment]],Table1[Treatment Type],0))</f>
        <v>Z01.2</v>
      </c>
      <c r="K186" t="s">
        <v>28</v>
      </c>
      <c r="L186" t="s">
        <v>28</v>
      </c>
      <c r="M186" t="s">
        <v>29</v>
      </c>
      <c r="N186">
        <f>Table2[[#This Row],[Total Paid]]+Table2[[#This Row],[Due]]</f>
        <v>200</v>
      </c>
      <c r="O186">
        <v>0</v>
      </c>
      <c r="P186">
        <v>0</v>
      </c>
      <c r="Q186">
        <v>200</v>
      </c>
      <c r="R186">
        <v>0</v>
      </c>
      <c r="S186">
        <v>0</v>
      </c>
      <c r="T186">
        <v>200</v>
      </c>
      <c r="U186">
        <v>0</v>
      </c>
      <c r="V186">
        <v>200</v>
      </c>
      <c r="W186" t="s">
        <v>47</v>
      </c>
      <c r="X186" s="6" t="s">
        <v>356</v>
      </c>
    </row>
    <row r="187" spans="1:24" hidden="1" x14ac:dyDescent="0.25">
      <c r="A187" t="s">
        <v>386</v>
      </c>
      <c r="B187" t="s">
        <v>161</v>
      </c>
      <c r="C187" t="s">
        <v>24</v>
      </c>
      <c r="D187">
        <v>58</v>
      </c>
      <c r="E187" t="s">
        <v>385</v>
      </c>
      <c r="F187" t="s">
        <v>50</v>
      </c>
      <c r="G187" t="s">
        <v>36</v>
      </c>
      <c r="H187" t="str">
        <f>INDEX(Table1[Diagnosis],MATCH(I187,'codeand diagnosis'!$A$2:$A$11,0))</f>
        <v>Retained dental root</v>
      </c>
      <c r="I187" t="s">
        <v>145</v>
      </c>
      <c r="J187" t="str">
        <f>INDEX(Table1[ICD-10 Code],MATCH(Table2[[#This Row],[Treatment]],Table1[Treatment Type],0))</f>
        <v>K08.3</v>
      </c>
      <c r="K187" t="s">
        <v>28</v>
      </c>
      <c r="L187" t="s">
        <v>38</v>
      </c>
      <c r="M187" t="s">
        <v>29</v>
      </c>
      <c r="N187">
        <f>Table2[[#This Row],[Total Paid]]+Table2[[#This Row],[Due]]</f>
        <v>2792</v>
      </c>
      <c r="O187">
        <v>2792</v>
      </c>
      <c r="P187">
        <v>0</v>
      </c>
      <c r="Q187">
        <v>0</v>
      </c>
      <c r="R187">
        <v>1060</v>
      </c>
      <c r="S187">
        <v>0</v>
      </c>
      <c r="T187">
        <v>2792</v>
      </c>
      <c r="U187">
        <v>0</v>
      </c>
      <c r="V187">
        <v>1732</v>
      </c>
      <c r="W187" t="s">
        <v>47</v>
      </c>
      <c r="X187" s="6" t="s">
        <v>356</v>
      </c>
    </row>
    <row r="188" spans="1:24" hidden="1" x14ac:dyDescent="0.25">
      <c r="A188" t="s">
        <v>387</v>
      </c>
      <c r="B188" t="s">
        <v>91</v>
      </c>
      <c r="C188" t="s">
        <v>34</v>
      </c>
      <c r="D188">
        <v>70</v>
      </c>
      <c r="E188" t="s">
        <v>388</v>
      </c>
      <c r="F188" t="s">
        <v>60</v>
      </c>
      <c r="G188" t="s">
        <v>36</v>
      </c>
      <c r="H188" t="str">
        <f>INDEX(Table1[Diagnosis],MATCH(I188,'codeand diagnosis'!$A$2:$A$11,0))</f>
        <v>Dental caries</v>
      </c>
      <c r="I188" t="s">
        <v>41</v>
      </c>
      <c r="J188" t="str">
        <f>INDEX(Table1[ICD-10 Code],MATCH(Table2[[#This Row],[Treatment]],Table1[Treatment Type],0))</f>
        <v>K02.9</v>
      </c>
      <c r="K188" t="s">
        <v>28</v>
      </c>
      <c r="L188" t="s">
        <v>38</v>
      </c>
      <c r="M188" t="s">
        <v>29</v>
      </c>
      <c r="N188">
        <f>Table2[[#This Row],[Total Paid]]+Table2[[#This Row],[Due]]</f>
        <v>769</v>
      </c>
      <c r="O188">
        <v>769</v>
      </c>
      <c r="P188">
        <v>0</v>
      </c>
      <c r="Q188">
        <v>0</v>
      </c>
      <c r="R188">
        <v>0</v>
      </c>
      <c r="S188">
        <v>0</v>
      </c>
      <c r="T188">
        <v>769</v>
      </c>
      <c r="U188">
        <v>0</v>
      </c>
      <c r="V188">
        <v>769</v>
      </c>
      <c r="W188" t="s">
        <v>51</v>
      </c>
      <c r="X188" s="6" t="s">
        <v>356</v>
      </c>
    </row>
    <row r="189" spans="1:24" hidden="1" x14ac:dyDescent="0.25">
      <c r="A189" t="s">
        <v>389</v>
      </c>
      <c r="B189" t="s">
        <v>109</v>
      </c>
      <c r="C189" t="s">
        <v>34</v>
      </c>
      <c r="D189">
        <v>74</v>
      </c>
      <c r="E189" t="s">
        <v>388</v>
      </c>
      <c r="F189" t="s">
        <v>25</v>
      </c>
      <c r="G189" t="s">
        <v>26</v>
      </c>
      <c r="H189" t="str">
        <f>INDEX(Table1[Diagnosis],MATCH(I189,'codeand diagnosis'!$A$2:$A$11,0))</f>
        <v>Pulpitis</v>
      </c>
      <c r="I189" t="s">
        <v>111</v>
      </c>
      <c r="J189" t="str">
        <f>INDEX(Table1[ICD-10 Code],MATCH(Table2[[#This Row],[Treatment]],Table1[Treatment Type],0))</f>
        <v>K04.0</v>
      </c>
      <c r="K189" t="s">
        <v>28</v>
      </c>
      <c r="L189" t="s">
        <v>28</v>
      </c>
      <c r="M189" t="s">
        <v>29</v>
      </c>
      <c r="N189">
        <f>Table2[[#This Row],[Total Paid]]+Table2[[#This Row],[Due]]</f>
        <v>4005</v>
      </c>
      <c r="O189">
        <v>4005</v>
      </c>
      <c r="P189">
        <v>0</v>
      </c>
      <c r="Q189">
        <v>0</v>
      </c>
      <c r="R189">
        <v>0</v>
      </c>
      <c r="S189">
        <v>0</v>
      </c>
      <c r="T189">
        <v>4005</v>
      </c>
      <c r="U189">
        <v>0</v>
      </c>
      <c r="V189">
        <v>4005</v>
      </c>
      <c r="W189" t="s">
        <v>42</v>
      </c>
      <c r="X189" s="6" t="s">
        <v>356</v>
      </c>
    </row>
    <row r="190" spans="1:24" hidden="1" x14ac:dyDescent="0.25">
      <c r="A190" t="s">
        <v>390</v>
      </c>
      <c r="B190" t="s">
        <v>207</v>
      </c>
      <c r="C190" t="s">
        <v>34</v>
      </c>
      <c r="D190">
        <v>18</v>
      </c>
      <c r="E190" t="s">
        <v>391</v>
      </c>
      <c r="F190" t="s">
        <v>50</v>
      </c>
      <c r="G190" t="s">
        <v>26</v>
      </c>
      <c r="H190" t="str">
        <f>INDEX(Table1[Diagnosis],MATCH(I190,'codeand diagnosis'!$A$2:$A$11,0))</f>
        <v>Dental examination with radiology</v>
      </c>
      <c r="I190" t="s">
        <v>37</v>
      </c>
      <c r="J190" t="str">
        <f>INDEX(Table1[ICD-10 Code],MATCH(Table2[[#This Row],[Treatment]],Table1[Treatment Type],0))</f>
        <v>Z01.2</v>
      </c>
      <c r="K190" t="s">
        <v>28</v>
      </c>
      <c r="L190" t="s">
        <v>38</v>
      </c>
      <c r="M190" t="s">
        <v>29</v>
      </c>
      <c r="N190">
        <f>Table2[[#This Row],[Total Paid]]+Table2[[#This Row],[Due]]</f>
        <v>350</v>
      </c>
      <c r="O190">
        <v>0</v>
      </c>
      <c r="P190">
        <v>150</v>
      </c>
      <c r="Q190">
        <v>200</v>
      </c>
      <c r="R190">
        <v>0</v>
      </c>
      <c r="S190">
        <v>0</v>
      </c>
      <c r="T190">
        <v>350</v>
      </c>
      <c r="U190">
        <v>0</v>
      </c>
      <c r="V190">
        <v>350</v>
      </c>
      <c r="W190" t="s">
        <v>47</v>
      </c>
      <c r="X190" s="6" t="s">
        <v>356</v>
      </c>
    </row>
    <row r="191" spans="1:24" hidden="1" x14ac:dyDescent="0.25">
      <c r="A191" t="s">
        <v>392</v>
      </c>
      <c r="B191" t="s">
        <v>171</v>
      </c>
      <c r="C191" t="s">
        <v>24</v>
      </c>
      <c r="D191">
        <v>63</v>
      </c>
      <c r="E191" t="s">
        <v>393</v>
      </c>
      <c r="F191" t="s">
        <v>50</v>
      </c>
      <c r="G191" t="s">
        <v>26</v>
      </c>
      <c r="H191" t="str">
        <f>INDEX(Table1[Diagnosis],MATCH(I191,'codeand diagnosis'!$A$2:$A$11,0))</f>
        <v>Dental examination with radiology</v>
      </c>
      <c r="I191" t="s">
        <v>37</v>
      </c>
      <c r="J191" t="str">
        <f>INDEX(Table1[ICD-10 Code],MATCH(Table2[[#This Row],[Treatment]],Table1[Treatment Type],0))</f>
        <v>Z01.2</v>
      </c>
      <c r="K191" t="s">
        <v>28</v>
      </c>
      <c r="L191" t="s">
        <v>38</v>
      </c>
      <c r="M191" t="s">
        <v>29</v>
      </c>
      <c r="N191">
        <f>Table2[[#This Row],[Total Paid]]+Table2[[#This Row],[Due]]</f>
        <v>210</v>
      </c>
      <c r="O191">
        <v>0</v>
      </c>
      <c r="P191">
        <v>150</v>
      </c>
      <c r="Q191">
        <v>200</v>
      </c>
      <c r="R191">
        <v>0</v>
      </c>
      <c r="S191">
        <v>140</v>
      </c>
      <c r="T191">
        <v>210</v>
      </c>
      <c r="U191">
        <v>0</v>
      </c>
      <c r="V191">
        <v>210</v>
      </c>
      <c r="W191" t="s">
        <v>51</v>
      </c>
      <c r="X191" s="6" t="s">
        <v>356</v>
      </c>
    </row>
    <row r="192" spans="1:24" hidden="1" x14ac:dyDescent="0.25">
      <c r="A192" t="s">
        <v>394</v>
      </c>
      <c r="B192" t="s">
        <v>369</v>
      </c>
      <c r="C192" t="s">
        <v>24</v>
      </c>
      <c r="D192">
        <v>69</v>
      </c>
      <c r="E192" t="s">
        <v>395</v>
      </c>
      <c r="F192" t="s">
        <v>50</v>
      </c>
      <c r="G192" t="s">
        <v>26</v>
      </c>
      <c r="H192" t="str">
        <f>INDEX(Table1[Diagnosis],MATCH(I192,'codeand diagnosis'!$A$2:$A$11,0))</f>
        <v>Cosmetic procedure</v>
      </c>
      <c r="I192" t="s">
        <v>55</v>
      </c>
      <c r="J192" t="str">
        <f>INDEX(Table1[ICD-10 Code],MATCH(Table2[[#This Row],[Treatment]],Table1[Treatment Type],0))</f>
        <v>Z41.1</v>
      </c>
      <c r="K192" t="s">
        <v>28</v>
      </c>
      <c r="L192" t="s">
        <v>28</v>
      </c>
      <c r="M192" t="s">
        <v>29</v>
      </c>
      <c r="N192">
        <f>Table2[[#This Row],[Total Paid]]+Table2[[#This Row],[Due]]</f>
        <v>1248</v>
      </c>
      <c r="O192">
        <v>1248</v>
      </c>
      <c r="P192">
        <v>0</v>
      </c>
      <c r="Q192">
        <v>0</v>
      </c>
      <c r="R192">
        <v>0</v>
      </c>
      <c r="S192">
        <v>0</v>
      </c>
      <c r="T192">
        <v>1248</v>
      </c>
      <c r="U192">
        <v>0</v>
      </c>
      <c r="V192">
        <v>1248</v>
      </c>
      <c r="W192" t="s">
        <v>42</v>
      </c>
      <c r="X192" s="6" t="s">
        <v>356</v>
      </c>
    </row>
    <row r="193" spans="1:24" hidden="1" x14ac:dyDescent="0.25">
      <c r="A193" t="s">
        <v>396</v>
      </c>
      <c r="B193" t="s">
        <v>80</v>
      </c>
      <c r="C193" t="s">
        <v>34</v>
      </c>
      <c r="D193">
        <v>15</v>
      </c>
      <c r="E193" t="s">
        <v>395</v>
      </c>
      <c r="F193" t="s">
        <v>132</v>
      </c>
      <c r="G193" t="s">
        <v>26</v>
      </c>
      <c r="H193" t="str">
        <f>INDEX(Table1[Diagnosis],MATCH(I193,'codeand diagnosis'!$A$2:$A$11,0))</f>
        <v>Dental examination</v>
      </c>
      <c r="I193" t="s">
        <v>45</v>
      </c>
      <c r="J193" t="str">
        <f>INDEX(Table1[ICD-10 Code],MATCH(Table2[[#This Row],[Treatment]],Table1[Treatment Type],0))</f>
        <v>Z01.2</v>
      </c>
      <c r="K193" t="s">
        <v>28</v>
      </c>
      <c r="L193" t="s">
        <v>28</v>
      </c>
      <c r="M193" t="s">
        <v>29</v>
      </c>
      <c r="N193">
        <f>Table2[[#This Row],[Total Paid]]+Table2[[#This Row],[Due]]</f>
        <v>200</v>
      </c>
      <c r="O193">
        <v>0</v>
      </c>
      <c r="P193">
        <v>0</v>
      </c>
      <c r="Q193">
        <v>200</v>
      </c>
      <c r="R193">
        <v>0</v>
      </c>
      <c r="S193">
        <v>0</v>
      </c>
      <c r="T193">
        <v>200</v>
      </c>
      <c r="U193">
        <v>0</v>
      </c>
      <c r="V193">
        <v>200</v>
      </c>
      <c r="W193" t="s">
        <v>51</v>
      </c>
      <c r="X193" s="6" t="s">
        <v>356</v>
      </c>
    </row>
    <row r="194" spans="1:24" hidden="1" x14ac:dyDescent="0.25">
      <c r="A194" t="s">
        <v>397</v>
      </c>
      <c r="B194" t="s">
        <v>398</v>
      </c>
      <c r="C194" t="s">
        <v>34</v>
      </c>
      <c r="D194">
        <v>42</v>
      </c>
      <c r="E194" t="s">
        <v>399</v>
      </c>
      <c r="F194" t="s">
        <v>50</v>
      </c>
      <c r="G194" t="s">
        <v>26</v>
      </c>
      <c r="H194" t="str">
        <f>INDEX(Table1[Diagnosis],MATCH(I194,'codeand diagnosis'!$A$2:$A$11,0))</f>
        <v>Dental examination</v>
      </c>
      <c r="I194" t="s">
        <v>45</v>
      </c>
      <c r="J194" t="str">
        <f>INDEX(Table1[ICD-10 Code],MATCH(Table2[[#This Row],[Treatment]],Table1[Treatment Type],0))</f>
        <v>Z01.2</v>
      </c>
      <c r="K194" t="s">
        <v>28</v>
      </c>
      <c r="L194" t="s">
        <v>28</v>
      </c>
      <c r="M194" t="s">
        <v>46</v>
      </c>
      <c r="N194">
        <f>Table2[[#This Row],[Total Paid]]+Table2[[#This Row],[Due]]</f>
        <v>200</v>
      </c>
      <c r="O194">
        <v>0</v>
      </c>
      <c r="P194">
        <v>0</v>
      </c>
      <c r="Q194">
        <v>200</v>
      </c>
      <c r="R194">
        <v>0</v>
      </c>
      <c r="S194">
        <v>0</v>
      </c>
      <c r="T194">
        <v>200</v>
      </c>
      <c r="U194">
        <v>0</v>
      </c>
      <c r="V194">
        <v>200</v>
      </c>
      <c r="W194" t="s">
        <v>51</v>
      </c>
      <c r="X194" s="6" t="s">
        <v>356</v>
      </c>
    </row>
    <row r="195" spans="1:24" hidden="1" x14ac:dyDescent="0.25">
      <c r="A195" t="s">
        <v>400</v>
      </c>
      <c r="B195" t="s">
        <v>363</v>
      </c>
      <c r="C195" t="s">
        <v>34</v>
      </c>
      <c r="D195">
        <v>8</v>
      </c>
      <c r="E195" t="s">
        <v>399</v>
      </c>
      <c r="F195" t="s">
        <v>50</v>
      </c>
      <c r="G195" t="s">
        <v>26</v>
      </c>
      <c r="H195" t="str">
        <f>INDEX(Table1[Diagnosis],MATCH(I195,'codeand diagnosis'!$A$2:$A$11,0))</f>
        <v>Dental examination with radiology</v>
      </c>
      <c r="I195" t="s">
        <v>37</v>
      </c>
      <c r="J195" t="str">
        <f>INDEX(Table1[ICD-10 Code],MATCH(Table2[[#This Row],[Treatment]],Table1[Treatment Type],0))</f>
        <v>Z01.2</v>
      </c>
      <c r="K195" t="s">
        <v>28</v>
      </c>
      <c r="L195" t="s">
        <v>38</v>
      </c>
      <c r="M195" t="s">
        <v>61</v>
      </c>
      <c r="N195">
        <f>Table2[[#This Row],[Total Paid]]+Table2[[#This Row],[Due]]</f>
        <v>350</v>
      </c>
      <c r="O195">
        <v>0</v>
      </c>
      <c r="P195">
        <v>150</v>
      </c>
      <c r="Q195">
        <v>200</v>
      </c>
      <c r="R195">
        <v>0</v>
      </c>
      <c r="S195">
        <v>0</v>
      </c>
      <c r="T195">
        <v>350</v>
      </c>
      <c r="U195">
        <v>0</v>
      </c>
      <c r="V195">
        <v>350</v>
      </c>
      <c r="W195" t="s">
        <v>51</v>
      </c>
      <c r="X195" s="6" t="s">
        <v>356</v>
      </c>
    </row>
    <row r="196" spans="1:24" hidden="1" x14ac:dyDescent="0.25">
      <c r="A196" t="s">
        <v>401</v>
      </c>
      <c r="B196" t="s">
        <v>65</v>
      </c>
      <c r="C196" t="s">
        <v>24</v>
      </c>
      <c r="D196">
        <v>9</v>
      </c>
      <c r="E196" t="s">
        <v>402</v>
      </c>
      <c r="F196" t="s">
        <v>88</v>
      </c>
      <c r="G196" t="s">
        <v>26</v>
      </c>
      <c r="H196" t="str">
        <f>INDEX(Table1[Diagnosis],MATCH(I196,'codeand diagnosis'!$A$2:$A$11,0))</f>
        <v>Dental examination</v>
      </c>
      <c r="I196" t="s">
        <v>45</v>
      </c>
      <c r="J196" t="str">
        <f>INDEX(Table1[ICD-10 Code],MATCH(Table2[[#This Row],[Treatment]],Table1[Treatment Type],0))</f>
        <v>Z01.2</v>
      </c>
      <c r="K196" t="s">
        <v>28</v>
      </c>
      <c r="L196" t="s">
        <v>28</v>
      </c>
      <c r="M196" t="s">
        <v>61</v>
      </c>
      <c r="N196">
        <f>Table2[[#This Row],[Total Paid]]+Table2[[#This Row],[Due]]</f>
        <v>200</v>
      </c>
      <c r="O196">
        <v>0</v>
      </c>
      <c r="P196">
        <v>0</v>
      </c>
      <c r="Q196">
        <v>200</v>
      </c>
      <c r="R196">
        <v>0</v>
      </c>
      <c r="S196">
        <v>0</v>
      </c>
      <c r="T196">
        <v>200</v>
      </c>
      <c r="U196">
        <v>0</v>
      </c>
      <c r="V196">
        <v>200</v>
      </c>
      <c r="W196" t="s">
        <v>42</v>
      </c>
      <c r="X196" s="6" t="s">
        <v>356</v>
      </c>
    </row>
    <row r="197" spans="1:24" hidden="1" x14ac:dyDescent="0.25">
      <c r="A197" t="s">
        <v>403</v>
      </c>
      <c r="B197" t="s">
        <v>137</v>
      </c>
      <c r="C197" t="s">
        <v>24</v>
      </c>
      <c r="D197">
        <v>60</v>
      </c>
      <c r="E197" t="s">
        <v>404</v>
      </c>
      <c r="F197" t="s">
        <v>50</v>
      </c>
      <c r="G197" t="s">
        <v>26</v>
      </c>
      <c r="H197" t="str">
        <f>INDEX(Table1[Diagnosis],MATCH(I197,'codeand diagnosis'!$A$2:$A$11,0))</f>
        <v>Dental examination with radiology</v>
      </c>
      <c r="I197" t="s">
        <v>37</v>
      </c>
      <c r="J197" t="str">
        <f>INDEX(Table1[ICD-10 Code],MATCH(Table2[[#This Row],[Treatment]],Table1[Treatment Type],0))</f>
        <v>Z01.2</v>
      </c>
      <c r="K197" t="s">
        <v>28</v>
      </c>
      <c r="L197" t="s">
        <v>38</v>
      </c>
      <c r="M197" t="s">
        <v>61</v>
      </c>
      <c r="N197">
        <f>Table2[[#This Row],[Total Paid]]+Table2[[#This Row],[Due]]</f>
        <v>300</v>
      </c>
      <c r="O197">
        <v>0</v>
      </c>
      <c r="P197">
        <v>150</v>
      </c>
      <c r="Q197">
        <v>200</v>
      </c>
      <c r="R197">
        <v>0</v>
      </c>
      <c r="S197">
        <v>50</v>
      </c>
      <c r="T197">
        <v>300</v>
      </c>
      <c r="U197">
        <v>0</v>
      </c>
      <c r="V197">
        <v>300</v>
      </c>
      <c r="W197" t="s">
        <v>42</v>
      </c>
      <c r="X197" s="6" t="s">
        <v>356</v>
      </c>
    </row>
    <row r="198" spans="1:24" hidden="1" x14ac:dyDescent="0.25">
      <c r="A198" t="s">
        <v>405</v>
      </c>
      <c r="B198" t="s">
        <v>161</v>
      </c>
      <c r="C198" t="s">
        <v>24</v>
      </c>
      <c r="D198">
        <v>80</v>
      </c>
      <c r="E198" t="s">
        <v>404</v>
      </c>
      <c r="F198" t="s">
        <v>35</v>
      </c>
      <c r="G198" t="s">
        <v>36</v>
      </c>
      <c r="H198" t="str">
        <f>INDEX(Table1[Diagnosis],MATCH(I198,'codeand diagnosis'!$A$2:$A$11,0))</f>
        <v>Dental examination</v>
      </c>
      <c r="I198" t="s">
        <v>45</v>
      </c>
      <c r="J198" t="str">
        <f>INDEX(Table1[ICD-10 Code],MATCH(Table2[[#This Row],[Treatment]],Table1[Treatment Type],0))</f>
        <v>Z01.2</v>
      </c>
      <c r="K198" t="s">
        <v>28</v>
      </c>
      <c r="L198" t="s">
        <v>28</v>
      </c>
      <c r="M198" t="s">
        <v>29</v>
      </c>
      <c r="N198">
        <f>Table2[[#This Row],[Total Paid]]+Table2[[#This Row],[Due]]</f>
        <v>200</v>
      </c>
      <c r="O198">
        <v>0</v>
      </c>
      <c r="P198">
        <v>0</v>
      </c>
      <c r="Q198">
        <v>200</v>
      </c>
      <c r="R198">
        <v>0</v>
      </c>
      <c r="S198">
        <v>0</v>
      </c>
      <c r="T198">
        <v>200</v>
      </c>
      <c r="U198">
        <v>0</v>
      </c>
      <c r="V198">
        <v>200</v>
      </c>
      <c r="W198" t="s">
        <v>42</v>
      </c>
      <c r="X198" s="6" t="s">
        <v>356</v>
      </c>
    </row>
    <row r="199" spans="1:24" hidden="1" x14ac:dyDescent="0.25">
      <c r="A199" t="s">
        <v>406</v>
      </c>
      <c r="B199" t="s">
        <v>340</v>
      </c>
      <c r="C199" t="s">
        <v>34</v>
      </c>
      <c r="D199">
        <v>43</v>
      </c>
      <c r="E199" t="s">
        <v>404</v>
      </c>
      <c r="F199" t="s">
        <v>35</v>
      </c>
      <c r="G199" t="s">
        <v>26</v>
      </c>
      <c r="H199" t="str">
        <f>INDEX(Table1[Diagnosis],MATCH(I199,'codeand diagnosis'!$A$2:$A$11,0))</f>
        <v>Dental examination</v>
      </c>
      <c r="I199" t="s">
        <v>45</v>
      </c>
      <c r="J199" t="str">
        <f>INDEX(Table1[ICD-10 Code],MATCH(Table2[[#This Row],[Treatment]],Table1[Treatment Type],0))</f>
        <v>Z01.2</v>
      </c>
      <c r="K199" t="s">
        <v>28</v>
      </c>
      <c r="L199" t="s">
        <v>28</v>
      </c>
      <c r="M199" t="s">
        <v>29</v>
      </c>
      <c r="N199">
        <f>Table2[[#This Row],[Total Paid]]+Table2[[#This Row],[Due]]</f>
        <v>200</v>
      </c>
      <c r="O199">
        <v>0</v>
      </c>
      <c r="P199">
        <v>0</v>
      </c>
      <c r="Q199">
        <v>200</v>
      </c>
      <c r="R199">
        <v>0</v>
      </c>
      <c r="S199">
        <v>0</v>
      </c>
      <c r="T199">
        <v>200</v>
      </c>
      <c r="U199">
        <v>0</v>
      </c>
      <c r="V199">
        <v>200</v>
      </c>
      <c r="W199" t="s">
        <v>51</v>
      </c>
      <c r="X199" s="6" t="s">
        <v>356</v>
      </c>
    </row>
    <row r="200" spans="1:24" hidden="1" x14ac:dyDescent="0.25">
      <c r="A200" t="s">
        <v>407</v>
      </c>
      <c r="B200" t="s">
        <v>131</v>
      </c>
      <c r="C200" t="s">
        <v>34</v>
      </c>
      <c r="D200">
        <v>6</v>
      </c>
      <c r="E200" t="s">
        <v>408</v>
      </c>
      <c r="F200" t="s">
        <v>88</v>
      </c>
      <c r="G200" t="s">
        <v>26</v>
      </c>
      <c r="H200" t="str">
        <f>INDEX(Table1[Diagnosis],MATCH(I200,'codeand diagnosis'!$A$2:$A$11,0))</f>
        <v>Pulpitis</v>
      </c>
      <c r="I200" t="s">
        <v>111</v>
      </c>
      <c r="J200" t="str">
        <f>INDEX(Table1[ICD-10 Code],MATCH(Table2[[#This Row],[Treatment]],Table1[Treatment Type],0))</f>
        <v>K04.0</v>
      </c>
      <c r="K200" t="s">
        <v>28</v>
      </c>
      <c r="L200" t="s">
        <v>38</v>
      </c>
      <c r="M200" t="s">
        <v>46</v>
      </c>
      <c r="N200">
        <f>Table2[[#This Row],[Total Paid]]+Table2[[#This Row],[Due]]</f>
        <v>3036</v>
      </c>
      <c r="O200">
        <v>3236</v>
      </c>
      <c r="P200">
        <v>0</v>
      </c>
      <c r="Q200">
        <v>0</v>
      </c>
      <c r="R200">
        <v>0</v>
      </c>
      <c r="S200">
        <v>200</v>
      </c>
      <c r="T200">
        <v>3036</v>
      </c>
      <c r="U200">
        <v>0</v>
      </c>
      <c r="V200">
        <v>3036</v>
      </c>
      <c r="W200" t="s">
        <v>42</v>
      </c>
      <c r="X200" s="6" t="s">
        <v>356</v>
      </c>
    </row>
    <row r="201" spans="1:24" hidden="1" x14ac:dyDescent="0.25">
      <c r="A201" t="s">
        <v>409</v>
      </c>
      <c r="B201" t="s">
        <v>194</v>
      </c>
      <c r="C201" t="s">
        <v>34</v>
      </c>
      <c r="D201">
        <v>72</v>
      </c>
      <c r="E201" t="s">
        <v>410</v>
      </c>
      <c r="F201" t="s">
        <v>35</v>
      </c>
      <c r="G201" t="s">
        <v>26</v>
      </c>
      <c r="H201" t="str">
        <f>INDEX(Table1[Diagnosis],MATCH(I201,'codeand diagnosis'!$A$2:$A$11,0))</f>
        <v>Dental examination</v>
      </c>
      <c r="I201" t="s">
        <v>45</v>
      </c>
      <c r="J201" t="str">
        <f>INDEX(Table1[ICD-10 Code],MATCH(Table2[[#This Row],[Treatment]],Table1[Treatment Type],0))</f>
        <v>Z01.2</v>
      </c>
      <c r="K201" t="s">
        <v>28</v>
      </c>
      <c r="L201" t="s">
        <v>28</v>
      </c>
      <c r="M201" t="s">
        <v>29</v>
      </c>
      <c r="N201">
        <f>Table2[[#This Row],[Total Paid]]+Table2[[#This Row],[Due]]</f>
        <v>200</v>
      </c>
      <c r="O201">
        <v>0</v>
      </c>
      <c r="P201">
        <v>0</v>
      </c>
      <c r="Q201">
        <v>200</v>
      </c>
      <c r="R201">
        <v>0</v>
      </c>
      <c r="S201">
        <v>0</v>
      </c>
      <c r="T201">
        <v>200</v>
      </c>
      <c r="U201">
        <v>0</v>
      </c>
      <c r="V201">
        <v>200</v>
      </c>
      <c r="W201" t="s">
        <v>51</v>
      </c>
      <c r="X201" s="6" t="s">
        <v>356</v>
      </c>
    </row>
    <row r="202" spans="1:24" hidden="1" x14ac:dyDescent="0.25">
      <c r="A202" t="s">
        <v>411</v>
      </c>
      <c r="B202" t="s">
        <v>59</v>
      </c>
      <c r="C202" t="s">
        <v>34</v>
      </c>
      <c r="D202">
        <v>6</v>
      </c>
      <c r="E202" t="s">
        <v>412</v>
      </c>
      <c r="F202" t="s">
        <v>50</v>
      </c>
      <c r="G202" t="s">
        <v>36</v>
      </c>
      <c r="H202" t="str">
        <f>INDEX(Table1[Diagnosis],MATCH(I202,'codeand diagnosis'!$A$2:$A$11,0))</f>
        <v>Dental examination with radiology</v>
      </c>
      <c r="I202" t="s">
        <v>37</v>
      </c>
      <c r="J202" t="str">
        <f>INDEX(Table1[ICD-10 Code],MATCH(Table2[[#This Row],[Treatment]],Table1[Treatment Type],0))</f>
        <v>Z01.2</v>
      </c>
      <c r="K202" t="s">
        <v>28</v>
      </c>
      <c r="L202" t="s">
        <v>38</v>
      </c>
      <c r="M202" t="s">
        <v>46</v>
      </c>
      <c r="N202">
        <f>Table2[[#This Row],[Total Paid]]+Table2[[#This Row],[Due]]</f>
        <v>350</v>
      </c>
      <c r="O202">
        <v>0</v>
      </c>
      <c r="P202">
        <v>150</v>
      </c>
      <c r="Q202">
        <v>200</v>
      </c>
      <c r="R202">
        <v>0</v>
      </c>
      <c r="S202">
        <v>0</v>
      </c>
      <c r="T202">
        <v>350</v>
      </c>
      <c r="U202">
        <v>0</v>
      </c>
      <c r="V202">
        <v>350</v>
      </c>
      <c r="W202" t="s">
        <v>30</v>
      </c>
      <c r="X202" s="6" t="s">
        <v>356</v>
      </c>
    </row>
    <row r="203" spans="1:24" hidden="1" x14ac:dyDescent="0.25">
      <c r="A203" t="s">
        <v>413</v>
      </c>
      <c r="B203" t="s">
        <v>414</v>
      </c>
      <c r="C203" t="s">
        <v>24</v>
      </c>
      <c r="D203">
        <v>39</v>
      </c>
      <c r="E203" t="s">
        <v>415</v>
      </c>
      <c r="F203" t="s">
        <v>50</v>
      </c>
      <c r="G203" t="s">
        <v>26</v>
      </c>
      <c r="H203" t="str">
        <f>INDEX(Table1[Diagnosis],MATCH(I203,'codeand diagnosis'!$A$2:$A$11,0))</f>
        <v>Dental examination with radiology</v>
      </c>
      <c r="I203" t="s">
        <v>37</v>
      </c>
      <c r="J203" t="str">
        <f>INDEX(Table1[ICD-10 Code],MATCH(Table2[[#This Row],[Treatment]],Table1[Treatment Type],0))</f>
        <v>Z01.2</v>
      </c>
      <c r="K203" t="s">
        <v>28</v>
      </c>
      <c r="L203" t="s">
        <v>38</v>
      </c>
      <c r="M203" t="s">
        <v>29</v>
      </c>
      <c r="N203">
        <f>Table2[[#This Row],[Total Paid]]+Table2[[#This Row],[Due]]</f>
        <v>350</v>
      </c>
      <c r="O203">
        <v>0</v>
      </c>
      <c r="P203">
        <v>150</v>
      </c>
      <c r="Q203">
        <v>200</v>
      </c>
      <c r="R203">
        <v>0</v>
      </c>
      <c r="S203">
        <v>0</v>
      </c>
      <c r="T203">
        <v>350</v>
      </c>
      <c r="U203">
        <v>0</v>
      </c>
      <c r="V203">
        <v>350</v>
      </c>
      <c r="W203" t="s">
        <v>51</v>
      </c>
      <c r="X203" s="6" t="s">
        <v>356</v>
      </c>
    </row>
    <row r="204" spans="1:24" x14ac:dyDescent="0.25">
      <c r="A204" t="s">
        <v>416</v>
      </c>
      <c r="B204" t="s">
        <v>180</v>
      </c>
      <c r="C204" t="s">
        <v>24</v>
      </c>
      <c r="D204">
        <v>5</v>
      </c>
      <c r="E204" t="s">
        <v>415</v>
      </c>
      <c r="F204" t="s">
        <v>35</v>
      </c>
      <c r="G204" t="s">
        <v>26</v>
      </c>
      <c r="H204" t="str">
        <f>INDEX(Table1[Diagnosis],MATCH(I204,'codeand diagnosis'!$A$2:$A$11,0))</f>
        <v>Dental examination with radiology</v>
      </c>
      <c r="I204" t="s">
        <v>37</v>
      </c>
      <c r="J204" t="str">
        <f>INDEX(Table1[ICD-10 Code],MATCH(Table2[[#This Row],[Treatment]],Table1[Treatment Type],0))</f>
        <v>Z01.2</v>
      </c>
      <c r="K204" t="s">
        <v>28</v>
      </c>
      <c r="L204" t="s">
        <v>38</v>
      </c>
      <c r="M204" t="s">
        <v>29</v>
      </c>
      <c r="N204">
        <f>Table2[[#This Row],[Total Paid]]+Table2[[#This Row],[Due]]</f>
        <v>350</v>
      </c>
      <c r="O204">
        <v>0</v>
      </c>
      <c r="P204">
        <v>150</v>
      </c>
      <c r="Q204">
        <v>200</v>
      </c>
      <c r="R204">
        <v>0</v>
      </c>
      <c r="S204">
        <v>0</v>
      </c>
      <c r="T204">
        <v>350</v>
      </c>
      <c r="U204">
        <v>0</v>
      </c>
      <c r="V204">
        <v>350</v>
      </c>
      <c r="W204" t="s">
        <v>51</v>
      </c>
      <c r="X204" s="6" t="s">
        <v>356</v>
      </c>
    </row>
    <row r="205" spans="1:24" hidden="1" x14ac:dyDescent="0.25">
      <c r="A205" t="s">
        <v>417</v>
      </c>
      <c r="B205" t="s">
        <v>94</v>
      </c>
      <c r="C205" t="s">
        <v>24</v>
      </c>
      <c r="D205">
        <v>65</v>
      </c>
      <c r="E205" s="1">
        <v>44932</v>
      </c>
      <c r="F205" t="s">
        <v>35</v>
      </c>
      <c r="G205" t="s">
        <v>26</v>
      </c>
      <c r="H205" t="str">
        <f>INDEX(Table1[Diagnosis],MATCH(I205,'codeand diagnosis'!$A$2:$A$11,0))</f>
        <v>Gingivitis</v>
      </c>
      <c r="I205" t="s">
        <v>27</v>
      </c>
      <c r="J205" t="str">
        <f>INDEX(Table1[ICD-10 Code],MATCH(Table2[[#This Row],[Treatment]],Table1[Treatment Type],0))</f>
        <v>K05.10</v>
      </c>
      <c r="K205" t="s">
        <v>28</v>
      </c>
      <c r="L205" t="s">
        <v>38</v>
      </c>
      <c r="M205" t="s">
        <v>29</v>
      </c>
      <c r="N205">
        <f>Table2[[#This Row],[Total Paid]]+Table2[[#This Row],[Due]]</f>
        <v>461</v>
      </c>
      <c r="O205">
        <v>461</v>
      </c>
      <c r="P205">
        <v>0</v>
      </c>
      <c r="Q205">
        <v>0</v>
      </c>
      <c r="R205">
        <v>0</v>
      </c>
      <c r="S205">
        <v>0</v>
      </c>
      <c r="T205">
        <v>461</v>
      </c>
      <c r="U205">
        <v>0</v>
      </c>
      <c r="V205">
        <v>461</v>
      </c>
      <c r="W205" t="s">
        <v>51</v>
      </c>
      <c r="X205" s="6" t="s">
        <v>418</v>
      </c>
    </row>
    <row r="206" spans="1:24" hidden="1" x14ac:dyDescent="0.25">
      <c r="A206" t="s">
        <v>419</v>
      </c>
      <c r="B206" t="s">
        <v>420</v>
      </c>
      <c r="C206" t="s">
        <v>34</v>
      </c>
      <c r="D206">
        <v>8</v>
      </c>
      <c r="E206" s="1">
        <v>44932</v>
      </c>
      <c r="F206" t="s">
        <v>50</v>
      </c>
      <c r="G206" t="s">
        <v>26</v>
      </c>
      <c r="H206" t="str">
        <f>INDEX(Table1[Diagnosis],MATCH(I206,'codeand diagnosis'!$A$2:$A$11,0))</f>
        <v>Dental examination with radiology</v>
      </c>
      <c r="I206" t="s">
        <v>37</v>
      </c>
      <c r="J206" t="str">
        <f>INDEX(Table1[ICD-10 Code],MATCH(Table2[[#This Row],[Treatment]],Table1[Treatment Type],0))</f>
        <v>Z01.2</v>
      </c>
      <c r="K206" t="s">
        <v>28</v>
      </c>
      <c r="L206" t="s">
        <v>38</v>
      </c>
      <c r="M206" t="s">
        <v>29</v>
      </c>
      <c r="N206">
        <f>Table2[[#This Row],[Total Paid]]+Table2[[#This Row],[Due]]</f>
        <v>350</v>
      </c>
      <c r="O206">
        <v>0</v>
      </c>
      <c r="P206">
        <v>150</v>
      </c>
      <c r="Q206">
        <v>200</v>
      </c>
      <c r="R206">
        <v>0</v>
      </c>
      <c r="S206">
        <v>0</v>
      </c>
      <c r="T206">
        <v>350</v>
      </c>
      <c r="U206">
        <v>0</v>
      </c>
      <c r="V206">
        <v>350</v>
      </c>
      <c r="W206" t="s">
        <v>30</v>
      </c>
      <c r="X206" s="6" t="s">
        <v>418</v>
      </c>
    </row>
    <row r="207" spans="1:24" hidden="1" x14ac:dyDescent="0.25">
      <c r="A207" t="s">
        <v>421</v>
      </c>
      <c r="B207" t="s">
        <v>159</v>
      </c>
      <c r="C207" t="s">
        <v>24</v>
      </c>
      <c r="D207">
        <v>46</v>
      </c>
      <c r="E207" s="1">
        <v>44963</v>
      </c>
      <c r="F207" t="s">
        <v>50</v>
      </c>
      <c r="G207" t="s">
        <v>36</v>
      </c>
      <c r="H207" t="str">
        <f>INDEX(Table1[Diagnosis],MATCH(I207,'codeand diagnosis'!$A$2:$A$11,0))</f>
        <v>Dental examination</v>
      </c>
      <c r="I207" t="s">
        <v>45</v>
      </c>
      <c r="J207" t="str">
        <f>INDEX(Table1[ICD-10 Code],MATCH(Table2[[#This Row],[Treatment]],Table1[Treatment Type],0))</f>
        <v>Z01.2</v>
      </c>
      <c r="K207" t="s">
        <v>28</v>
      </c>
      <c r="L207" t="s">
        <v>28</v>
      </c>
      <c r="M207" t="s">
        <v>46</v>
      </c>
      <c r="N207">
        <f>Table2[[#This Row],[Total Paid]]+Table2[[#This Row],[Due]]</f>
        <v>200</v>
      </c>
      <c r="O207">
        <v>0</v>
      </c>
      <c r="P207">
        <v>0</v>
      </c>
      <c r="Q207">
        <v>200</v>
      </c>
      <c r="R207">
        <v>0</v>
      </c>
      <c r="S207">
        <v>0</v>
      </c>
      <c r="T207">
        <v>200</v>
      </c>
      <c r="U207">
        <v>0</v>
      </c>
      <c r="V207">
        <v>200</v>
      </c>
      <c r="W207" t="s">
        <v>42</v>
      </c>
      <c r="X207" s="6" t="s">
        <v>418</v>
      </c>
    </row>
    <row r="208" spans="1:24" hidden="1" x14ac:dyDescent="0.25">
      <c r="A208" t="s">
        <v>422</v>
      </c>
      <c r="B208" t="s">
        <v>296</v>
      </c>
      <c r="C208" t="s">
        <v>24</v>
      </c>
      <c r="D208">
        <v>22</v>
      </c>
      <c r="E208" s="1">
        <v>45052</v>
      </c>
      <c r="F208" t="s">
        <v>88</v>
      </c>
      <c r="G208" t="s">
        <v>26</v>
      </c>
      <c r="H208" t="str">
        <f>INDEX(Table1[Diagnosis],MATCH(I208,'codeand diagnosis'!$A$2:$A$11,0))</f>
        <v>Dental examination</v>
      </c>
      <c r="I208" t="s">
        <v>45</v>
      </c>
      <c r="J208" t="str">
        <f>INDEX(Table1[ICD-10 Code],MATCH(Table2[[#This Row],[Treatment]],Table1[Treatment Type],0))</f>
        <v>Z01.2</v>
      </c>
      <c r="K208" t="s">
        <v>28</v>
      </c>
      <c r="L208" t="s">
        <v>28</v>
      </c>
      <c r="M208" t="s">
        <v>29</v>
      </c>
      <c r="N208">
        <f>Table2[[#This Row],[Total Paid]]+Table2[[#This Row],[Due]]</f>
        <v>200</v>
      </c>
      <c r="O208">
        <v>0</v>
      </c>
      <c r="P208">
        <v>0</v>
      </c>
      <c r="Q208">
        <v>200</v>
      </c>
      <c r="R208">
        <v>0</v>
      </c>
      <c r="S208">
        <v>0</v>
      </c>
      <c r="T208">
        <v>200</v>
      </c>
      <c r="U208">
        <v>0</v>
      </c>
      <c r="V208">
        <v>200</v>
      </c>
      <c r="W208" t="s">
        <v>51</v>
      </c>
      <c r="X208" s="6" t="s">
        <v>418</v>
      </c>
    </row>
    <row r="209" spans="1:24" hidden="1" x14ac:dyDescent="0.25">
      <c r="A209" t="s">
        <v>423</v>
      </c>
      <c r="B209" t="s">
        <v>182</v>
      </c>
      <c r="C209" t="s">
        <v>24</v>
      </c>
      <c r="D209">
        <v>31</v>
      </c>
      <c r="E209" s="1">
        <v>45052</v>
      </c>
      <c r="F209" t="s">
        <v>359</v>
      </c>
      <c r="G209" t="s">
        <v>36</v>
      </c>
      <c r="H209" t="str">
        <f>INDEX(Table1[Diagnosis],MATCH(I209,'codeand diagnosis'!$A$2:$A$11,0))</f>
        <v>Gingivitis</v>
      </c>
      <c r="I209" t="s">
        <v>27</v>
      </c>
      <c r="J209" t="str">
        <f>INDEX(Table1[ICD-10 Code],MATCH(Table2[[#This Row],[Treatment]],Table1[Treatment Type],0))</f>
        <v>K05.10</v>
      </c>
      <c r="K209" t="s">
        <v>28</v>
      </c>
      <c r="L209" t="s">
        <v>38</v>
      </c>
      <c r="M209" t="s">
        <v>29</v>
      </c>
      <c r="N209">
        <f>Table2[[#This Row],[Total Paid]]+Table2[[#This Row],[Due]]</f>
        <v>511</v>
      </c>
      <c r="O209">
        <v>511</v>
      </c>
      <c r="P209">
        <v>0</v>
      </c>
      <c r="Q209">
        <v>0</v>
      </c>
      <c r="R209">
        <v>0</v>
      </c>
      <c r="S209">
        <v>0</v>
      </c>
      <c r="T209">
        <v>511</v>
      </c>
      <c r="U209">
        <v>0</v>
      </c>
      <c r="V209">
        <v>511</v>
      </c>
      <c r="W209" t="s">
        <v>51</v>
      </c>
      <c r="X209" s="6" t="s">
        <v>418</v>
      </c>
    </row>
    <row r="210" spans="1:24" hidden="1" x14ac:dyDescent="0.25">
      <c r="A210" t="s">
        <v>424</v>
      </c>
      <c r="B210" t="s">
        <v>306</v>
      </c>
      <c r="C210" t="s">
        <v>24</v>
      </c>
      <c r="D210">
        <v>47</v>
      </c>
      <c r="E210" s="1">
        <v>45083</v>
      </c>
      <c r="F210" t="s">
        <v>104</v>
      </c>
      <c r="G210" t="s">
        <v>26</v>
      </c>
      <c r="H210" t="str">
        <f>INDEX(Table1[Diagnosis],MATCH(I210,'codeand diagnosis'!$A$2:$A$11,0))</f>
        <v>Dental examination</v>
      </c>
      <c r="I210" t="s">
        <v>45</v>
      </c>
      <c r="J210" t="str">
        <f>INDEX(Table1[ICD-10 Code],MATCH(Table2[[#This Row],[Treatment]],Table1[Treatment Type],0))</f>
        <v>Z01.2</v>
      </c>
      <c r="K210" t="s">
        <v>28</v>
      </c>
      <c r="L210" t="s">
        <v>28</v>
      </c>
      <c r="M210" t="s">
        <v>61</v>
      </c>
      <c r="N210">
        <f>Table2[[#This Row],[Total Paid]]+Table2[[#This Row],[Due]]</f>
        <v>120</v>
      </c>
      <c r="O210">
        <v>0</v>
      </c>
      <c r="P210">
        <v>0</v>
      </c>
      <c r="Q210">
        <v>200</v>
      </c>
      <c r="R210">
        <v>0</v>
      </c>
      <c r="S210">
        <v>80</v>
      </c>
      <c r="T210">
        <v>120</v>
      </c>
      <c r="U210">
        <v>0</v>
      </c>
      <c r="V210">
        <v>120</v>
      </c>
      <c r="W210" t="s">
        <v>42</v>
      </c>
      <c r="X210" s="6" t="s">
        <v>418</v>
      </c>
    </row>
    <row r="211" spans="1:24" hidden="1" x14ac:dyDescent="0.25">
      <c r="A211" t="s">
        <v>425</v>
      </c>
      <c r="B211" t="s">
        <v>94</v>
      </c>
      <c r="C211" t="s">
        <v>24</v>
      </c>
      <c r="D211">
        <v>17</v>
      </c>
      <c r="E211" s="1">
        <v>45083</v>
      </c>
      <c r="F211" t="s">
        <v>35</v>
      </c>
      <c r="G211" t="s">
        <v>36</v>
      </c>
      <c r="H211" t="str">
        <f>INDEX(Table1[Diagnosis],MATCH(I211,'codeand diagnosis'!$A$2:$A$11,0))</f>
        <v>Gingivitis</v>
      </c>
      <c r="I211" t="s">
        <v>27</v>
      </c>
      <c r="J211" t="str">
        <f>INDEX(Table1[ICD-10 Code],MATCH(Table2[[#This Row],[Treatment]],Table1[Treatment Type],0))</f>
        <v>K05.10</v>
      </c>
      <c r="K211" t="s">
        <v>28</v>
      </c>
      <c r="L211" t="s">
        <v>38</v>
      </c>
      <c r="M211" t="s">
        <v>29</v>
      </c>
      <c r="N211">
        <f>Table2[[#This Row],[Total Paid]]+Table2[[#This Row],[Due]]</f>
        <v>609</v>
      </c>
      <c r="O211">
        <v>609</v>
      </c>
      <c r="P211">
        <v>0</v>
      </c>
      <c r="Q211">
        <v>0</v>
      </c>
      <c r="R211">
        <v>0</v>
      </c>
      <c r="S211">
        <v>0</v>
      </c>
      <c r="T211">
        <v>609</v>
      </c>
      <c r="U211">
        <v>0</v>
      </c>
      <c r="V211">
        <v>609</v>
      </c>
      <c r="W211" t="s">
        <v>42</v>
      </c>
      <c r="X211" s="6" t="s">
        <v>418</v>
      </c>
    </row>
    <row r="212" spans="1:24" hidden="1" x14ac:dyDescent="0.25">
      <c r="A212" t="s">
        <v>426</v>
      </c>
      <c r="B212" t="s">
        <v>304</v>
      </c>
      <c r="C212" t="s">
        <v>34</v>
      </c>
      <c r="D212">
        <v>66</v>
      </c>
      <c r="E212" s="1">
        <v>45113</v>
      </c>
      <c r="F212" t="s">
        <v>92</v>
      </c>
      <c r="G212" t="s">
        <v>36</v>
      </c>
      <c r="H212" t="str">
        <f>INDEX(Table1[Diagnosis],MATCH(I212,'codeand diagnosis'!$A$2:$A$11,0))</f>
        <v>Dental examination</v>
      </c>
      <c r="I212" t="s">
        <v>45</v>
      </c>
      <c r="J212" t="str">
        <f>INDEX(Table1[ICD-10 Code],MATCH(Table2[[#This Row],[Treatment]],Table1[Treatment Type],0))</f>
        <v>Z01.2</v>
      </c>
      <c r="K212" t="s">
        <v>28</v>
      </c>
      <c r="L212" t="s">
        <v>28</v>
      </c>
      <c r="M212" t="s">
        <v>29</v>
      </c>
      <c r="N212">
        <f>Table2[[#This Row],[Total Paid]]+Table2[[#This Row],[Due]]</f>
        <v>200</v>
      </c>
      <c r="O212">
        <v>0</v>
      </c>
      <c r="P212">
        <v>0</v>
      </c>
      <c r="Q212">
        <v>200</v>
      </c>
      <c r="R212">
        <v>0</v>
      </c>
      <c r="S212">
        <v>0</v>
      </c>
      <c r="T212">
        <v>200</v>
      </c>
      <c r="U212">
        <v>0</v>
      </c>
      <c r="V212">
        <v>200</v>
      </c>
      <c r="W212" t="s">
        <v>42</v>
      </c>
      <c r="X212" s="6" t="s">
        <v>418</v>
      </c>
    </row>
    <row r="213" spans="1:24" hidden="1" x14ac:dyDescent="0.25">
      <c r="A213" t="s">
        <v>427</v>
      </c>
      <c r="B213" t="s">
        <v>428</v>
      </c>
      <c r="C213" t="s">
        <v>24</v>
      </c>
      <c r="D213">
        <v>53</v>
      </c>
      <c r="E213" s="1">
        <v>45144</v>
      </c>
      <c r="F213" t="s">
        <v>25</v>
      </c>
      <c r="G213" t="s">
        <v>26</v>
      </c>
      <c r="H213" t="str">
        <f>INDEX(Table1[Diagnosis],MATCH(I213,'codeand diagnosis'!$A$2:$A$11,0))</f>
        <v>Cosmetic procedure</v>
      </c>
      <c r="I213" t="s">
        <v>55</v>
      </c>
      <c r="J213" t="str">
        <f>INDEX(Table1[ICD-10 Code],MATCH(Table2[[#This Row],[Treatment]],Table1[Treatment Type],0))</f>
        <v>Z41.1</v>
      </c>
      <c r="K213" t="s">
        <v>28</v>
      </c>
      <c r="L213" t="s">
        <v>38</v>
      </c>
      <c r="M213" t="s">
        <v>29</v>
      </c>
      <c r="N213">
        <f>Table2[[#This Row],[Total Paid]]+Table2[[#This Row],[Due]]</f>
        <v>859.8</v>
      </c>
      <c r="O213">
        <v>1433</v>
      </c>
      <c r="P213">
        <v>0</v>
      </c>
      <c r="Q213">
        <v>0</v>
      </c>
      <c r="R213">
        <v>0</v>
      </c>
      <c r="S213">
        <v>573.20000000000005</v>
      </c>
      <c r="T213">
        <v>859.8</v>
      </c>
      <c r="U213">
        <v>0</v>
      </c>
      <c r="V213">
        <v>859.8</v>
      </c>
      <c r="W213" t="s">
        <v>51</v>
      </c>
      <c r="X213" s="6" t="s">
        <v>418</v>
      </c>
    </row>
    <row r="214" spans="1:24" hidden="1" x14ac:dyDescent="0.25">
      <c r="A214" t="s">
        <v>429</v>
      </c>
      <c r="B214" t="s">
        <v>171</v>
      </c>
      <c r="C214" t="s">
        <v>24</v>
      </c>
      <c r="D214">
        <v>54</v>
      </c>
      <c r="E214" s="1">
        <v>45144</v>
      </c>
      <c r="F214" t="s">
        <v>88</v>
      </c>
      <c r="G214" t="s">
        <v>26</v>
      </c>
      <c r="H214" t="str">
        <f>INDEX(Table1[Diagnosis],MATCH(I214,'codeand diagnosis'!$A$2:$A$11,0))</f>
        <v>Dental examination with radiology</v>
      </c>
      <c r="I214" t="s">
        <v>37</v>
      </c>
      <c r="J214" t="str">
        <f>INDEX(Table1[ICD-10 Code],MATCH(Table2[[#This Row],[Treatment]],Table1[Treatment Type],0))</f>
        <v>Z01.2</v>
      </c>
      <c r="K214" t="s">
        <v>28</v>
      </c>
      <c r="L214" t="s">
        <v>38</v>
      </c>
      <c r="M214" t="s">
        <v>61</v>
      </c>
      <c r="N214">
        <f>Table2[[#This Row],[Total Paid]]+Table2[[#This Row],[Due]]</f>
        <v>350</v>
      </c>
      <c r="O214">
        <v>0</v>
      </c>
      <c r="P214">
        <v>150</v>
      </c>
      <c r="Q214">
        <v>200</v>
      </c>
      <c r="R214">
        <v>0</v>
      </c>
      <c r="S214">
        <v>0</v>
      </c>
      <c r="T214">
        <v>350</v>
      </c>
      <c r="U214">
        <v>0</v>
      </c>
      <c r="V214">
        <v>350</v>
      </c>
      <c r="W214" t="s">
        <v>51</v>
      </c>
      <c r="X214" s="6" t="s">
        <v>418</v>
      </c>
    </row>
    <row r="215" spans="1:24" hidden="1" x14ac:dyDescent="0.25">
      <c r="A215" t="s">
        <v>430</v>
      </c>
      <c r="B215" t="s">
        <v>431</v>
      </c>
      <c r="C215" t="s">
        <v>34</v>
      </c>
      <c r="D215">
        <v>26</v>
      </c>
      <c r="E215" s="1">
        <v>45144</v>
      </c>
      <c r="F215" t="s">
        <v>50</v>
      </c>
      <c r="G215" t="s">
        <v>26</v>
      </c>
      <c r="H215" t="str">
        <f>INDEX(Table1[Diagnosis],MATCH(I215,'codeand diagnosis'!$A$2:$A$11,0))</f>
        <v>Cosmetic procedure</v>
      </c>
      <c r="I215" t="s">
        <v>55</v>
      </c>
      <c r="J215" t="str">
        <f>INDEX(Table1[ICD-10 Code],MATCH(Table2[[#This Row],[Treatment]],Table1[Treatment Type],0))</f>
        <v>Z41.1</v>
      </c>
      <c r="K215" t="s">
        <v>28</v>
      </c>
      <c r="L215" t="s">
        <v>28</v>
      </c>
      <c r="M215" t="s">
        <v>29</v>
      </c>
      <c r="N215">
        <f>Table2[[#This Row],[Total Paid]]+Table2[[#This Row],[Due]]</f>
        <v>1637</v>
      </c>
      <c r="O215">
        <v>1637</v>
      </c>
      <c r="P215">
        <v>0</v>
      </c>
      <c r="Q215">
        <v>0</v>
      </c>
      <c r="R215">
        <v>0</v>
      </c>
      <c r="S215">
        <v>0</v>
      </c>
      <c r="T215">
        <v>1071</v>
      </c>
      <c r="U215">
        <v>566</v>
      </c>
      <c r="V215">
        <v>1071</v>
      </c>
      <c r="W215" t="s">
        <v>42</v>
      </c>
      <c r="X215" s="6" t="s">
        <v>418</v>
      </c>
    </row>
    <row r="216" spans="1:24" hidden="1" x14ac:dyDescent="0.25">
      <c r="A216" t="s">
        <v>432</v>
      </c>
      <c r="B216" t="s">
        <v>100</v>
      </c>
      <c r="C216" t="s">
        <v>34</v>
      </c>
      <c r="D216">
        <v>77</v>
      </c>
      <c r="E216" s="1">
        <v>45175</v>
      </c>
      <c r="F216" t="s">
        <v>25</v>
      </c>
      <c r="G216" t="s">
        <v>36</v>
      </c>
      <c r="H216" t="str">
        <f>INDEX(Table1[Diagnosis],MATCH(I216,'codeand diagnosis'!$A$2:$A$11,0))</f>
        <v>Dental examination with radiology</v>
      </c>
      <c r="I216" t="s">
        <v>37</v>
      </c>
      <c r="J216" t="str">
        <f>INDEX(Table1[ICD-10 Code],MATCH(Table2[[#This Row],[Treatment]],Table1[Treatment Type],0))</f>
        <v>Z01.2</v>
      </c>
      <c r="K216" t="s">
        <v>28</v>
      </c>
      <c r="L216" t="s">
        <v>38</v>
      </c>
      <c r="M216" t="s">
        <v>29</v>
      </c>
      <c r="N216">
        <f>Table2[[#This Row],[Total Paid]]+Table2[[#This Row],[Due]]</f>
        <v>350</v>
      </c>
      <c r="O216">
        <v>0</v>
      </c>
      <c r="P216">
        <v>150</v>
      </c>
      <c r="Q216">
        <v>200</v>
      </c>
      <c r="R216">
        <v>0</v>
      </c>
      <c r="S216">
        <v>0</v>
      </c>
      <c r="T216">
        <v>350</v>
      </c>
      <c r="U216">
        <v>0</v>
      </c>
      <c r="V216">
        <v>350</v>
      </c>
      <c r="W216" t="s">
        <v>30</v>
      </c>
      <c r="X216" s="6" t="s">
        <v>418</v>
      </c>
    </row>
    <row r="217" spans="1:24" hidden="1" x14ac:dyDescent="0.25">
      <c r="A217" t="s">
        <v>433</v>
      </c>
      <c r="B217" t="s">
        <v>161</v>
      </c>
      <c r="C217" t="s">
        <v>24</v>
      </c>
      <c r="D217">
        <v>38</v>
      </c>
      <c r="E217" s="1">
        <v>45175</v>
      </c>
      <c r="F217" t="s">
        <v>50</v>
      </c>
      <c r="G217" t="s">
        <v>36</v>
      </c>
      <c r="H217" t="str">
        <f>INDEX(Table1[Diagnosis],MATCH(I217,'codeand diagnosis'!$A$2:$A$11,0))</f>
        <v>Retained dental root</v>
      </c>
      <c r="I217" t="s">
        <v>145</v>
      </c>
      <c r="J217" t="str">
        <f>INDEX(Table1[ICD-10 Code],MATCH(Table2[[#This Row],[Treatment]],Table1[Treatment Type],0))</f>
        <v>K08.3</v>
      </c>
      <c r="K217" t="s">
        <v>28</v>
      </c>
      <c r="L217" t="s">
        <v>38</v>
      </c>
      <c r="M217" t="s">
        <v>29</v>
      </c>
      <c r="N217">
        <f>Table2[[#This Row],[Total Paid]]+Table2[[#This Row],[Due]]</f>
        <v>3482</v>
      </c>
      <c r="O217">
        <v>3482</v>
      </c>
      <c r="P217">
        <v>0</v>
      </c>
      <c r="Q217">
        <v>0</v>
      </c>
      <c r="R217">
        <v>920</v>
      </c>
      <c r="S217">
        <v>0</v>
      </c>
      <c r="T217">
        <v>3482</v>
      </c>
      <c r="U217">
        <v>0</v>
      </c>
      <c r="V217">
        <v>2562</v>
      </c>
      <c r="W217" t="s">
        <v>47</v>
      </c>
      <c r="X217" s="6" t="s">
        <v>418</v>
      </c>
    </row>
    <row r="218" spans="1:24" hidden="1" x14ac:dyDescent="0.25">
      <c r="A218" t="s">
        <v>434</v>
      </c>
      <c r="B218" t="s">
        <v>80</v>
      </c>
      <c r="C218" t="s">
        <v>34</v>
      </c>
      <c r="D218">
        <v>53</v>
      </c>
      <c r="E218" s="1">
        <v>45175</v>
      </c>
      <c r="F218" t="s">
        <v>104</v>
      </c>
      <c r="G218" t="s">
        <v>26</v>
      </c>
      <c r="H218" t="str">
        <f>INDEX(Table1[Diagnosis],MATCH(I218,'codeand diagnosis'!$A$2:$A$11,0))</f>
        <v>Dental examination with radiology</v>
      </c>
      <c r="I218" t="s">
        <v>37</v>
      </c>
      <c r="J218" t="str">
        <f>INDEX(Table1[ICD-10 Code],MATCH(Table2[[#This Row],[Treatment]],Table1[Treatment Type],0))</f>
        <v>Z01.2</v>
      </c>
      <c r="K218" t="s">
        <v>28</v>
      </c>
      <c r="L218" t="s">
        <v>38</v>
      </c>
      <c r="M218" t="s">
        <v>29</v>
      </c>
      <c r="N218">
        <f>Table2[[#This Row],[Total Paid]]+Table2[[#This Row],[Due]]</f>
        <v>350</v>
      </c>
      <c r="O218">
        <v>0</v>
      </c>
      <c r="P218">
        <v>150</v>
      </c>
      <c r="Q218">
        <v>200</v>
      </c>
      <c r="R218">
        <v>0</v>
      </c>
      <c r="S218">
        <v>0</v>
      </c>
      <c r="T218">
        <v>350</v>
      </c>
      <c r="U218">
        <v>0</v>
      </c>
      <c r="V218">
        <v>350</v>
      </c>
      <c r="W218" t="s">
        <v>30</v>
      </c>
      <c r="X218" s="6" t="s">
        <v>418</v>
      </c>
    </row>
    <row r="219" spans="1:24" hidden="1" x14ac:dyDescent="0.25">
      <c r="A219" t="s">
        <v>435</v>
      </c>
      <c r="B219" t="s">
        <v>304</v>
      </c>
      <c r="C219" t="s">
        <v>34</v>
      </c>
      <c r="D219">
        <v>45</v>
      </c>
      <c r="E219" s="1">
        <v>45236</v>
      </c>
      <c r="F219" t="s">
        <v>35</v>
      </c>
      <c r="G219" t="s">
        <v>26</v>
      </c>
      <c r="H219" t="str">
        <f>INDEX(Table1[Diagnosis],MATCH(I219,'codeand diagnosis'!$A$2:$A$11,0))</f>
        <v>Dental examination with radiology</v>
      </c>
      <c r="I219" t="s">
        <v>37</v>
      </c>
      <c r="J219" t="str">
        <f>INDEX(Table1[ICD-10 Code],MATCH(Table2[[#This Row],[Treatment]],Table1[Treatment Type],0))</f>
        <v>Z01.2</v>
      </c>
      <c r="K219" t="s">
        <v>28</v>
      </c>
      <c r="L219" t="s">
        <v>38</v>
      </c>
      <c r="M219" t="s">
        <v>29</v>
      </c>
      <c r="N219">
        <f>Table2[[#This Row],[Total Paid]]+Table2[[#This Row],[Due]]</f>
        <v>350</v>
      </c>
      <c r="O219">
        <v>0</v>
      </c>
      <c r="P219">
        <v>150</v>
      </c>
      <c r="Q219">
        <v>200</v>
      </c>
      <c r="R219">
        <v>0</v>
      </c>
      <c r="S219">
        <v>0</v>
      </c>
      <c r="T219">
        <v>350</v>
      </c>
      <c r="U219">
        <v>0</v>
      </c>
      <c r="V219">
        <v>350</v>
      </c>
      <c r="W219" t="s">
        <v>30</v>
      </c>
      <c r="X219" s="6" t="s">
        <v>418</v>
      </c>
    </row>
    <row r="220" spans="1:24" hidden="1" x14ac:dyDescent="0.25">
      <c r="A220" t="s">
        <v>436</v>
      </c>
      <c r="B220" t="s">
        <v>98</v>
      </c>
      <c r="C220" t="s">
        <v>24</v>
      </c>
      <c r="D220">
        <v>33</v>
      </c>
      <c r="E220" t="s">
        <v>437</v>
      </c>
      <c r="F220" t="s">
        <v>50</v>
      </c>
      <c r="G220" t="s">
        <v>26</v>
      </c>
      <c r="H220" t="str">
        <f>INDEX(Table1[Diagnosis],MATCH(I220,'codeand diagnosis'!$A$2:$A$11,0))</f>
        <v>Gingivitis</v>
      </c>
      <c r="I220" t="s">
        <v>27</v>
      </c>
      <c r="J220" t="str">
        <f>INDEX(Table1[ICD-10 Code],MATCH(Table2[[#This Row],[Treatment]],Table1[Treatment Type],0))</f>
        <v>K05.10</v>
      </c>
      <c r="K220" t="s">
        <v>28</v>
      </c>
      <c r="L220" t="s">
        <v>28</v>
      </c>
      <c r="M220" t="s">
        <v>29</v>
      </c>
      <c r="N220">
        <f>Table2[[#This Row],[Total Paid]]+Table2[[#This Row],[Due]]</f>
        <v>406.2</v>
      </c>
      <c r="O220">
        <v>677</v>
      </c>
      <c r="P220">
        <v>0</v>
      </c>
      <c r="Q220">
        <v>0</v>
      </c>
      <c r="R220">
        <v>0</v>
      </c>
      <c r="S220">
        <v>270.8</v>
      </c>
      <c r="T220">
        <v>406.2</v>
      </c>
      <c r="U220">
        <v>0</v>
      </c>
      <c r="V220">
        <v>406.2</v>
      </c>
      <c r="W220" t="s">
        <v>42</v>
      </c>
      <c r="X220" s="6" t="s">
        <v>418</v>
      </c>
    </row>
    <row r="221" spans="1:24" hidden="1" x14ac:dyDescent="0.25">
      <c r="A221" t="s">
        <v>438</v>
      </c>
      <c r="B221" t="s">
        <v>98</v>
      </c>
      <c r="C221" t="s">
        <v>24</v>
      </c>
      <c r="D221">
        <v>45</v>
      </c>
      <c r="E221" t="s">
        <v>439</v>
      </c>
      <c r="F221" t="s">
        <v>35</v>
      </c>
      <c r="G221" t="s">
        <v>26</v>
      </c>
      <c r="H221" t="str">
        <f>INDEX(Table1[Diagnosis],MATCH(I221,'codeand diagnosis'!$A$2:$A$11,0))</f>
        <v>Cosmetic procedure</v>
      </c>
      <c r="I221" t="s">
        <v>55</v>
      </c>
      <c r="J221" t="str">
        <f>INDEX(Table1[ICD-10 Code],MATCH(Table2[[#This Row],[Treatment]],Table1[Treatment Type],0))</f>
        <v>Z41.1</v>
      </c>
      <c r="K221" t="s">
        <v>28</v>
      </c>
      <c r="L221" t="s">
        <v>28</v>
      </c>
      <c r="M221" t="s">
        <v>61</v>
      </c>
      <c r="N221">
        <f>Table2[[#This Row],[Total Paid]]+Table2[[#This Row],[Due]]</f>
        <v>1244</v>
      </c>
      <c r="O221">
        <v>1744</v>
      </c>
      <c r="P221">
        <v>0</v>
      </c>
      <c r="Q221">
        <v>0</v>
      </c>
      <c r="R221">
        <v>0</v>
      </c>
      <c r="S221">
        <v>500</v>
      </c>
      <c r="T221">
        <v>1244</v>
      </c>
      <c r="U221">
        <v>0</v>
      </c>
      <c r="V221">
        <v>1244</v>
      </c>
      <c r="W221" t="s">
        <v>42</v>
      </c>
      <c r="X221" s="6" t="s">
        <v>418</v>
      </c>
    </row>
    <row r="222" spans="1:24" hidden="1" x14ac:dyDescent="0.25">
      <c r="A222" t="s">
        <v>440</v>
      </c>
      <c r="B222" t="s">
        <v>141</v>
      </c>
      <c r="C222" t="s">
        <v>34</v>
      </c>
      <c r="D222">
        <v>41</v>
      </c>
      <c r="E222" t="s">
        <v>441</v>
      </c>
      <c r="F222" t="s">
        <v>25</v>
      </c>
      <c r="G222" t="s">
        <v>36</v>
      </c>
      <c r="H222" t="str">
        <f>INDEX(Table1[Diagnosis],MATCH(I222,'codeand diagnosis'!$A$2:$A$11,0))</f>
        <v>Gingivitis</v>
      </c>
      <c r="I222" t="s">
        <v>27</v>
      </c>
      <c r="J222" t="str">
        <f>INDEX(Table1[ICD-10 Code],MATCH(Table2[[#This Row],[Treatment]],Table1[Treatment Type],0))</f>
        <v>K05.10</v>
      </c>
      <c r="K222" t="s">
        <v>28</v>
      </c>
      <c r="L222" t="s">
        <v>28</v>
      </c>
      <c r="M222" t="s">
        <v>29</v>
      </c>
      <c r="N222">
        <f>Table2[[#This Row],[Total Paid]]+Table2[[#This Row],[Due]]</f>
        <v>250.2</v>
      </c>
      <c r="O222">
        <v>417</v>
      </c>
      <c r="P222">
        <v>0</v>
      </c>
      <c r="Q222">
        <v>0</v>
      </c>
      <c r="R222">
        <v>0</v>
      </c>
      <c r="S222">
        <v>166.8</v>
      </c>
      <c r="T222">
        <v>250.2</v>
      </c>
      <c r="U222">
        <v>0</v>
      </c>
      <c r="V222">
        <v>250.2</v>
      </c>
      <c r="W222" t="s">
        <v>42</v>
      </c>
      <c r="X222" s="6" t="s">
        <v>418</v>
      </c>
    </row>
    <row r="223" spans="1:24" hidden="1" x14ac:dyDescent="0.25">
      <c r="A223" t="s">
        <v>442</v>
      </c>
      <c r="B223" t="s">
        <v>161</v>
      </c>
      <c r="C223" t="s">
        <v>24</v>
      </c>
      <c r="D223">
        <v>20</v>
      </c>
      <c r="E223" t="s">
        <v>441</v>
      </c>
      <c r="F223" t="s">
        <v>88</v>
      </c>
      <c r="G223" t="s">
        <v>26</v>
      </c>
      <c r="H223" t="str">
        <f>INDEX(Table1[Diagnosis],MATCH(I223,'codeand diagnosis'!$A$2:$A$11,0))</f>
        <v>Dental examination with radiology</v>
      </c>
      <c r="I223" t="s">
        <v>37</v>
      </c>
      <c r="J223" t="str">
        <f>INDEX(Table1[ICD-10 Code],MATCH(Table2[[#This Row],[Treatment]],Table1[Treatment Type],0))</f>
        <v>Z01.2</v>
      </c>
      <c r="K223" t="s">
        <v>28</v>
      </c>
      <c r="L223" t="s">
        <v>38</v>
      </c>
      <c r="M223" t="s">
        <v>29</v>
      </c>
      <c r="N223">
        <f>Table2[[#This Row],[Total Paid]]+Table2[[#This Row],[Due]]</f>
        <v>210</v>
      </c>
      <c r="O223">
        <v>0</v>
      </c>
      <c r="P223">
        <v>150</v>
      </c>
      <c r="Q223">
        <v>200</v>
      </c>
      <c r="R223">
        <v>0</v>
      </c>
      <c r="S223">
        <v>140</v>
      </c>
      <c r="T223">
        <v>210</v>
      </c>
      <c r="U223">
        <v>0</v>
      </c>
      <c r="V223">
        <v>210</v>
      </c>
      <c r="W223" t="s">
        <v>47</v>
      </c>
      <c r="X223" s="6" t="s">
        <v>418</v>
      </c>
    </row>
    <row r="224" spans="1:24" hidden="1" x14ac:dyDescent="0.25">
      <c r="A224" t="s">
        <v>443</v>
      </c>
      <c r="B224" t="s">
        <v>314</v>
      </c>
      <c r="C224" t="s">
        <v>24</v>
      </c>
      <c r="D224">
        <v>58</v>
      </c>
      <c r="E224" t="s">
        <v>441</v>
      </c>
      <c r="F224" t="s">
        <v>50</v>
      </c>
      <c r="G224" t="s">
        <v>26</v>
      </c>
      <c r="H224" t="str">
        <f>INDEX(Table1[Diagnosis],MATCH(I224,'codeand diagnosis'!$A$2:$A$11,0))</f>
        <v>Dental examination with radiology</v>
      </c>
      <c r="I224" t="s">
        <v>37</v>
      </c>
      <c r="J224" t="str">
        <f>INDEX(Table1[ICD-10 Code],MATCH(Table2[[#This Row],[Treatment]],Table1[Treatment Type],0))</f>
        <v>Z01.2</v>
      </c>
      <c r="K224" t="s">
        <v>28</v>
      </c>
      <c r="L224" t="s">
        <v>38</v>
      </c>
      <c r="M224" t="s">
        <v>29</v>
      </c>
      <c r="N224">
        <f>Table2[[#This Row],[Total Paid]]+Table2[[#This Row],[Due]]</f>
        <v>350</v>
      </c>
      <c r="O224">
        <v>0</v>
      </c>
      <c r="P224">
        <v>150</v>
      </c>
      <c r="Q224">
        <v>200</v>
      </c>
      <c r="R224">
        <v>0</v>
      </c>
      <c r="S224">
        <v>0</v>
      </c>
      <c r="T224">
        <v>350</v>
      </c>
      <c r="U224">
        <v>0</v>
      </c>
      <c r="V224">
        <v>350</v>
      </c>
      <c r="W224" t="s">
        <v>42</v>
      </c>
      <c r="X224" s="6" t="s">
        <v>418</v>
      </c>
    </row>
    <row r="225" spans="1:24" hidden="1" x14ac:dyDescent="0.25">
      <c r="A225" t="s">
        <v>444</v>
      </c>
      <c r="B225" t="s">
        <v>374</v>
      </c>
      <c r="C225" t="s">
        <v>34</v>
      </c>
      <c r="D225">
        <v>13</v>
      </c>
      <c r="E225" t="s">
        <v>445</v>
      </c>
      <c r="F225" t="s">
        <v>50</v>
      </c>
      <c r="G225" t="s">
        <v>36</v>
      </c>
      <c r="H225" t="str">
        <f>INDEX(Table1[Diagnosis],MATCH(I225,'codeand diagnosis'!$A$2:$A$11,0))</f>
        <v>Loss of teeth</v>
      </c>
      <c r="I225" t="s">
        <v>68</v>
      </c>
      <c r="J225" t="str">
        <f>INDEX(Table1[ICD-10 Code],MATCH(Table2[[#This Row],[Treatment]],Table1[Treatment Type],0))</f>
        <v>K08.1</v>
      </c>
      <c r="K225" t="s">
        <v>28</v>
      </c>
      <c r="L225" t="s">
        <v>38</v>
      </c>
      <c r="M225" t="s">
        <v>61</v>
      </c>
      <c r="N225">
        <f>Table2[[#This Row],[Total Paid]]+Table2[[#This Row],[Due]]</f>
        <v>712</v>
      </c>
      <c r="O225">
        <v>712</v>
      </c>
      <c r="P225">
        <v>0</v>
      </c>
      <c r="Q225">
        <v>0</v>
      </c>
      <c r="R225">
        <v>0</v>
      </c>
      <c r="S225">
        <v>0</v>
      </c>
      <c r="T225">
        <v>712</v>
      </c>
      <c r="U225">
        <v>0</v>
      </c>
      <c r="V225">
        <v>712</v>
      </c>
      <c r="W225" t="s">
        <v>51</v>
      </c>
      <c r="X225" s="6" t="s">
        <v>418</v>
      </c>
    </row>
    <row r="226" spans="1:24" hidden="1" x14ac:dyDescent="0.25">
      <c r="A226" t="s">
        <v>446</v>
      </c>
      <c r="B226" t="s">
        <v>447</v>
      </c>
      <c r="C226" t="s">
        <v>24</v>
      </c>
      <c r="D226">
        <v>49</v>
      </c>
      <c r="E226" t="s">
        <v>448</v>
      </c>
      <c r="F226" t="s">
        <v>35</v>
      </c>
      <c r="G226" t="s">
        <v>26</v>
      </c>
      <c r="H226" t="str">
        <f>INDEX(Table1[Diagnosis],MATCH(I226,'codeand diagnosis'!$A$2:$A$11,0))</f>
        <v>Cosmetic procedure</v>
      </c>
      <c r="I226" t="s">
        <v>55</v>
      </c>
      <c r="J226" t="str">
        <f>INDEX(Table1[ICD-10 Code],MATCH(Table2[[#This Row],[Treatment]],Table1[Treatment Type],0))</f>
        <v>Z41.1</v>
      </c>
      <c r="K226" t="s">
        <v>28</v>
      </c>
      <c r="L226" t="s">
        <v>28</v>
      </c>
      <c r="M226" t="s">
        <v>29</v>
      </c>
      <c r="N226">
        <f>Table2[[#This Row],[Total Paid]]+Table2[[#This Row],[Due]]</f>
        <v>1672</v>
      </c>
      <c r="O226">
        <v>1672</v>
      </c>
      <c r="P226">
        <v>0</v>
      </c>
      <c r="Q226">
        <v>0</v>
      </c>
      <c r="R226">
        <v>0</v>
      </c>
      <c r="S226">
        <v>0</v>
      </c>
      <c r="T226">
        <v>1672</v>
      </c>
      <c r="U226">
        <v>0</v>
      </c>
      <c r="V226">
        <v>1672</v>
      </c>
      <c r="W226" t="s">
        <v>30</v>
      </c>
      <c r="X226" s="6" t="s">
        <v>418</v>
      </c>
    </row>
    <row r="227" spans="1:24" hidden="1" x14ac:dyDescent="0.25">
      <c r="A227" t="s">
        <v>449</v>
      </c>
      <c r="B227" t="s">
        <v>340</v>
      </c>
      <c r="C227" t="s">
        <v>34</v>
      </c>
      <c r="D227">
        <v>48</v>
      </c>
      <c r="E227" t="s">
        <v>448</v>
      </c>
      <c r="F227" t="s">
        <v>50</v>
      </c>
      <c r="G227" t="s">
        <v>36</v>
      </c>
      <c r="H227" t="str">
        <f>INDEX(Table1[Diagnosis],MATCH(I227,'codeand diagnosis'!$A$2:$A$11,0))</f>
        <v>Dental caries</v>
      </c>
      <c r="I227" t="s">
        <v>41</v>
      </c>
      <c r="J227" t="str">
        <f>INDEX(Table1[ICD-10 Code],MATCH(Table2[[#This Row],[Treatment]],Table1[Treatment Type],0))</f>
        <v>K02.9</v>
      </c>
      <c r="K227" t="s">
        <v>28</v>
      </c>
      <c r="L227" t="s">
        <v>38</v>
      </c>
      <c r="M227" t="s">
        <v>29</v>
      </c>
      <c r="N227">
        <f>Table2[[#This Row],[Total Paid]]+Table2[[#This Row],[Due]]</f>
        <v>749</v>
      </c>
      <c r="O227">
        <v>749</v>
      </c>
      <c r="P227">
        <v>0</v>
      </c>
      <c r="Q227">
        <v>0</v>
      </c>
      <c r="R227">
        <v>0</v>
      </c>
      <c r="S227">
        <v>0</v>
      </c>
      <c r="T227">
        <v>749</v>
      </c>
      <c r="U227">
        <v>0</v>
      </c>
      <c r="V227">
        <v>749</v>
      </c>
      <c r="W227" t="s">
        <v>47</v>
      </c>
      <c r="X227" s="6" t="s">
        <v>418</v>
      </c>
    </row>
    <row r="228" spans="1:24" hidden="1" x14ac:dyDescent="0.25">
      <c r="A228" t="s">
        <v>450</v>
      </c>
      <c r="B228" t="s">
        <v>451</v>
      </c>
      <c r="C228" t="s">
        <v>24</v>
      </c>
      <c r="D228">
        <v>33</v>
      </c>
      <c r="E228" t="s">
        <v>452</v>
      </c>
      <c r="F228" t="s">
        <v>132</v>
      </c>
      <c r="G228" t="s">
        <v>26</v>
      </c>
      <c r="H228" t="str">
        <f>INDEX(Table1[Diagnosis],MATCH(I228,'codeand diagnosis'!$A$2:$A$11,0))</f>
        <v>Cosmetic procedure</v>
      </c>
      <c r="I228" t="s">
        <v>55</v>
      </c>
      <c r="J228" t="str">
        <f>INDEX(Table1[ICD-10 Code],MATCH(Table2[[#This Row],[Treatment]],Table1[Treatment Type],0))</f>
        <v>Z41.1</v>
      </c>
      <c r="K228" t="s">
        <v>28</v>
      </c>
      <c r="L228" t="s">
        <v>38</v>
      </c>
      <c r="M228" t="s">
        <v>29</v>
      </c>
      <c r="N228">
        <f>Table2[[#This Row],[Total Paid]]+Table2[[#This Row],[Due]]</f>
        <v>1560</v>
      </c>
      <c r="O228">
        <v>1760</v>
      </c>
      <c r="P228">
        <v>0</v>
      </c>
      <c r="Q228">
        <v>0</v>
      </c>
      <c r="R228">
        <v>0</v>
      </c>
      <c r="S228">
        <v>200</v>
      </c>
      <c r="T228">
        <v>1282</v>
      </c>
      <c r="U228">
        <v>278</v>
      </c>
      <c r="V228">
        <v>1282</v>
      </c>
      <c r="W228" t="s">
        <v>51</v>
      </c>
      <c r="X228" s="6" t="s">
        <v>418</v>
      </c>
    </row>
    <row r="229" spans="1:24" hidden="1" x14ac:dyDescent="0.25">
      <c r="A229" t="s">
        <v>453</v>
      </c>
      <c r="B229" t="s">
        <v>173</v>
      </c>
      <c r="C229" t="s">
        <v>24</v>
      </c>
      <c r="D229">
        <v>39</v>
      </c>
      <c r="E229" t="s">
        <v>452</v>
      </c>
      <c r="F229" t="s">
        <v>35</v>
      </c>
      <c r="G229" t="s">
        <v>26</v>
      </c>
      <c r="H229" t="str">
        <f>INDEX(Table1[Diagnosis],MATCH(I229,'codeand diagnosis'!$A$2:$A$11,0))</f>
        <v>Gingivitis</v>
      </c>
      <c r="I229" t="s">
        <v>27</v>
      </c>
      <c r="J229" t="str">
        <f>INDEX(Table1[ICD-10 Code],MATCH(Table2[[#This Row],[Treatment]],Table1[Treatment Type],0))</f>
        <v>K05.10</v>
      </c>
      <c r="K229" t="s">
        <v>28</v>
      </c>
      <c r="L229" t="s">
        <v>38</v>
      </c>
      <c r="M229" t="s">
        <v>29</v>
      </c>
      <c r="N229">
        <f>Table2[[#This Row],[Total Paid]]+Table2[[#This Row],[Due]]</f>
        <v>642</v>
      </c>
      <c r="O229">
        <v>642</v>
      </c>
      <c r="P229">
        <v>0</v>
      </c>
      <c r="Q229">
        <v>0</v>
      </c>
      <c r="R229">
        <v>0</v>
      </c>
      <c r="S229">
        <v>0</v>
      </c>
      <c r="T229">
        <v>642</v>
      </c>
      <c r="U229">
        <v>0</v>
      </c>
      <c r="V229">
        <v>642</v>
      </c>
      <c r="W229" t="s">
        <v>42</v>
      </c>
      <c r="X229" s="6" t="s">
        <v>418</v>
      </c>
    </row>
    <row r="230" spans="1:24" hidden="1" x14ac:dyDescent="0.25">
      <c r="A230" t="s">
        <v>454</v>
      </c>
      <c r="B230" t="s">
        <v>243</v>
      </c>
      <c r="C230" t="s">
        <v>24</v>
      </c>
      <c r="D230">
        <v>20</v>
      </c>
      <c r="E230" t="s">
        <v>455</v>
      </c>
      <c r="F230" t="s">
        <v>50</v>
      </c>
      <c r="G230" t="s">
        <v>26</v>
      </c>
      <c r="H230" t="str">
        <f>INDEX(Table1[Diagnosis],MATCH(I230,'codeand diagnosis'!$A$2:$A$11,0))</f>
        <v>Dental examination</v>
      </c>
      <c r="I230" t="s">
        <v>45</v>
      </c>
      <c r="J230" t="str">
        <f>INDEX(Table1[ICD-10 Code],MATCH(Table2[[#This Row],[Treatment]],Table1[Treatment Type],0))</f>
        <v>Z01.2</v>
      </c>
      <c r="K230" t="s">
        <v>28</v>
      </c>
      <c r="L230" t="s">
        <v>28</v>
      </c>
      <c r="M230" t="s">
        <v>46</v>
      </c>
      <c r="N230">
        <f>Table2[[#This Row],[Total Paid]]+Table2[[#This Row],[Due]]</f>
        <v>200</v>
      </c>
      <c r="O230">
        <v>0</v>
      </c>
      <c r="P230">
        <v>0</v>
      </c>
      <c r="Q230">
        <v>200</v>
      </c>
      <c r="R230">
        <v>0</v>
      </c>
      <c r="S230">
        <v>0</v>
      </c>
      <c r="T230">
        <v>200</v>
      </c>
      <c r="U230">
        <v>0</v>
      </c>
      <c r="V230">
        <v>200</v>
      </c>
      <c r="W230" t="s">
        <v>47</v>
      </c>
      <c r="X230" s="6" t="s">
        <v>418</v>
      </c>
    </row>
    <row r="231" spans="1:24" hidden="1" x14ac:dyDescent="0.25">
      <c r="A231" t="s">
        <v>456</v>
      </c>
      <c r="B231" t="s">
        <v>262</v>
      </c>
      <c r="C231" t="s">
        <v>34</v>
      </c>
      <c r="D231">
        <v>9</v>
      </c>
      <c r="E231" t="s">
        <v>455</v>
      </c>
      <c r="F231" t="s">
        <v>104</v>
      </c>
      <c r="G231" t="s">
        <v>36</v>
      </c>
      <c r="H231" t="str">
        <f>INDEX(Table1[Diagnosis],MATCH(I231,'codeand diagnosis'!$A$2:$A$11,0))</f>
        <v>Retained dental root</v>
      </c>
      <c r="I231" t="s">
        <v>145</v>
      </c>
      <c r="J231" t="str">
        <f>INDEX(Table1[ICD-10 Code],MATCH(Table2[[#This Row],[Treatment]],Table1[Treatment Type],0))</f>
        <v>K08.3</v>
      </c>
      <c r="K231" t="s">
        <v>28</v>
      </c>
      <c r="L231" t="s">
        <v>38</v>
      </c>
      <c r="M231" t="s">
        <v>29</v>
      </c>
      <c r="N231">
        <f>Table2[[#This Row],[Total Paid]]+Table2[[#This Row],[Due]]</f>
        <v>2456</v>
      </c>
      <c r="O231">
        <v>2456</v>
      </c>
      <c r="P231">
        <v>0</v>
      </c>
      <c r="Q231">
        <v>0</v>
      </c>
      <c r="R231">
        <v>970</v>
      </c>
      <c r="S231">
        <v>0</v>
      </c>
      <c r="T231">
        <v>2456</v>
      </c>
      <c r="U231">
        <v>0</v>
      </c>
      <c r="V231">
        <v>1486</v>
      </c>
      <c r="W231" t="s">
        <v>42</v>
      </c>
      <c r="X231" s="6" t="s">
        <v>418</v>
      </c>
    </row>
    <row r="232" spans="1:24" hidden="1" x14ac:dyDescent="0.25">
      <c r="A232" t="s">
        <v>457</v>
      </c>
      <c r="B232" t="s">
        <v>180</v>
      </c>
      <c r="C232" t="s">
        <v>24</v>
      </c>
      <c r="D232">
        <v>59</v>
      </c>
      <c r="E232" t="s">
        <v>455</v>
      </c>
      <c r="F232" t="s">
        <v>35</v>
      </c>
      <c r="G232" t="s">
        <v>26</v>
      </c>
      <c r="H232" t="str">
        <f>INDEX(Table1[Diagnosis],MATCH(I232,'codeand diagnosis'!$A$2:$A$11,0))</f>
        <v>Dental examination with radiology</v>
      </c>
      <c r="I232" t="s">
        <v>37</v>
      </c>
      <c r="J232" t="str">
        <f>INDEX(Table1[ICD-10 Code],MATCH(Table2[[#This Row],[Treatment]],Table1[Treatment Type],0))</f>
        <v>Z01.2</v>
      </c>
      <c r="K232" t="s">
        <v>28</v>
      </c>
      <c r="L232" t="s">
        <v>38</v>
      </c>
      <c r="M232" t="s">
        <v>29</v>
      </c>
      <c r="N232">
        <f>Table2[[#This Row],[Total Paid]]+Table2[[#This Row],[Due]]</f>
        <v>350</v>
      </c>
      <c r="O232">
        <v>0</v>
      </c>
      <c r="P232">
        <v>150</v>
      </c>
      <c r="Q232">
        <v>200</v>
      </c>
      <c r="R232">
        <v>0</v>
      </c>
      <c r="S232">
        <v>0</v>
      </c>
      <c r="T232">
        <v>350</v>
      </c>
      <c r="U232">
        <v>0</v>
      </c>
      <c r="V232">
        <v>350</v>
      </c>
      <c r="W232" t="s">
        <v>42</v>
      </c>
      <c r="X232" s="6" t="s">
        <v>418</v>
      </c>
    </row>
    <row r="233" spans="1:24" hidden="1" x14ac:dyDescent="0.25">
      <c r="A233" t="s">
        <v>458</v>
      </c>
      <c r="B233" t="s">
        <v>59</v>
      </c>
      <c r="C233" t="s">
        <v>34</v>
      </c>
      <c r="D233">
        <v>32</v>
      </c>
      <c r="E233" t="s">
        <v>459</v>
      </c>
      <c r="F233" t="s">
        <v>88</v>
      </c>
      <c r="G233" t="s">
        <v>36</v>
      </c>
      <c r="H233" t="str">
        <f>INDEX(Table1[Diagnosis],MATCH(I233,'codeand diagnosis'!$A$2:$A$11,0))</f>
        <v>Retained dental root</v>
      </c>
      <c r="I233" t="s">
        <v>145</v>
      </c>
      <c r="J233" t="str">
        <f>INDEX(Table1[ICD-10 Code],MATCH(Table2[[#This Row],[Treatment]],Table1[Treatment Type],0))</f>
        <v>K08.3</v>
      </c>
      <c r="K233" t="s">
        <v>28</v>
      </c>
      <c r="L233" t="s">
        <v>28</v>
      </c>
      <c r="M233" t="s">
        <v>29</v>
      </c>
      <c r="N233">
        <f>Table2[[#This Row],[Total Paid]]+Table2[[#This Row],[Due]]</f>
        <v>3087</v>
      </c>
      <c r="O233">
        <v>3087</v>
      </c>
      <c r="P233">
        <v>0</v>
      </c>
      <c r="Q233">
        <v>0</v>
      </c>
      <c r="R233">
        <v>1270</v>
      </c>
      <c r="S233">
        <v>0</v>
      </c>
      <c r="T233">
        <v>3087</v>
      </c>
      <c r="U233">
        <v>0</v>
      </c>
      <c r="V233">
        <v>1817</v>
      </c>
      <c r="W233" t="s">
        <v>42</v>
      </c>
      <c r="X233" s="6" t="s">
        <v>418</v>
      </c>
    </row>
    <row r="234" spans="1:24" hidden="1" x14ac:dyDescent="0.25">
      <c r="A234" t="s">
        <v>460</v>
      </c>
      <c r="B234" t="s">
        <v>94</v>
      </c>
      <c r="C234" t="s">
        <v>24</v>
      </c>
      <c r="D234">
        <v>66</v>
      </c>
      <c r="E234" t="s">
        <v>461</v>
      </c>
      <c r="F234" t="s">
        <v>88</v>
      </c>
      <c r="G234" t="s">
        <v>36</v>
      </c>
      <c r="H234" t="str">
        <f>INDEX(Table1[Diagnosis],MATCH(I234,'codeand diagnosis'!$A$2:$A$11,0))</f>
        <v>Loss of teeth</v>
      </c>
      <c r="I234" t="s">
        <v>68</v>
      </c>
      <c r="J234" t="str">
        <f>INDEX(Table1[ICD-10 Code],MATCH(Table2[[#This Row],[Treatment]],Table1[Treatment Type],0))</f>
        <v>K08.1</v>
      </c>
      <c r="K234" t="s">
        <v>28</v>
      </c>
      <c r="L234" t="s">
        <v>28</v>
      </c>
      <c r="M234" t="s">
        <v>29</v>
      </c>
      <c r="N234">
        <f>Table2[[#This Row],[Total Paid]]+Table2[[#This Row],[Due]]</f>
        <v>801</v>
      </c>
      <c r="O234">
        <v>801</v>
      </c>
      <c r="P234">
        <v>0</v>
      </c>
      <c r="Q234">
        <v>0</v>
      </c>
      <c r="R234">
        <v>0</v>
      </c>
      <c r="S234">
        <v>0</v>
      </c>
      <c r="T234">
        <v>801</v>
      </c>
      <c r="U234">
        <v>0</v>
      </c>
      <c r="V234">
        <v>801</v>
      </c>
      <c r="W234" t="s">
        <v>47</v>
      </c>
      <c r="X234" s="6" t="s">
        <v>418</v>
      </c>
    </row>
    <row r="235" spans="1:24" hidden="1" x14ac:dyDescent="0.25">
      <c r="A235" t="s">
        <v>462</v>
      </c>
      <c r="B235" t="s">
        <v>296</v>
      </c>
      <c r="C235" t="s">
        <v>24</v>
      </c>
      <c r="D235">
        <v>10</v>
      </c>
      <c r="E235" t="s">
        <v>461</v>
      </c>
      <c r="F235" t="s">
        <v>50</v>
      </c>
      <c r="G235" t="s">
        <v>26</v>
      </c>
      <c r="H235" t="str">
        <f>INDEX(Table1[Diagnosis],MATCH(I235,'codeand diagnosis'!$A$2:$A$11,0))</f>
        <v>Dental examination</v>
      </c>
      <c r="I235" t="s">
        <v>45</v>
      </c>
      <c r="J235" t="str">
        <f>INDEX(Table1[ICD-10 Code],MATCH(Table2[[#This Row],[Treatment]],Table1[Treatment Type],0))</f>
        <v>Z01.2</v>
      </c>
      <c r="K235" t="s">
        <v>28</v>
      </c>
      <c r="L235" t="s">
        <v>28</v>
      </c>
      <c r="M235" t="s">
        <v>29</v>
      </c>
      <c r="N235">
        <f>Table2[[#This Row],[Total Paid]]+Table2[[#This Row],[Due]]</f>
        <v>120</v>
      </c>
      <c r="O235">
        <v>0</v>
      </c>
      <c r="P235">
        <v>0</v>
      </c>
      <c r="Q235">
        <v>200</v>
      </c>
      <c r="R235">
        <v>0</v>
      </c>
      <c r="S235">
        <v>80</v>
      </c>
      <c r="T235">
        <v>120</v>
      </c>
      <c r="U235">
        <v>0</v>
      </c>
      <c r="V235">
        <v>120</v>
      </c>
      <c r="W235" t="s">
        <v>51</v>
      </c>
      <c r="X235" s="6" t="s">
        <v>418</v>
      </c>
    </row>
    <row r="236" spans="1:24" hidden="1" x14ac:dyDescent="0.25">
      <c r="A236" t="s">
        <v>463</v>
      </c>
      <c r="B236" t="s">
        <v>222</v>
      </c>
      <c r="C236" t="s">
        <v>24</v>
      </c>
      <c r="D236">
        <v>48</v>
      </c>
      <c r="E236" t="s">
        <v>464</v>
      </c>
      <c r="F236" t="s">
        <v>35</v>
      </c>
      <c r="G236" t="s">
        <v>26</v>
      </c>
      <c r="H236" t="str">
        <f>INDEX(Table1[Diagnosis],MATCH(I236,'codeand diagnosis'!$A$2:$A$11,0))</f>
        <v>Dental examination with radiology</v>
      </c>
      <c r="I236" t="s">
        <v>37</v>
      </c>
      <c r="J236" t="str">
        <f>INDEX(Table1[ICD-10 Code],MATCH(Table2[[#This Row],[Treatment]],Table1[Treatment Type],0))</f>
        <v>Z01.2</v>
      </c>
      <c r="K236" t="s">
        <v>28</v>
      </c>
      <c r="L236" t="s">
        <v>38</v>
      </c>
      <c r="M236" t="s">
        <v>29</v>
      </c>
      <c r="N236">
        <f>Table2[[#This Row],[Total Paid]]+Table2[[#This Row],[Due]]</f>
        <v>350</v>
      </c>
      <c r="O236">
        <v>0</v>
      </c>
      <c r="P236">
        <v>150</v>
      </c>
      <c r="Q236">
        <v>200</v>
      </c>
      <c r="R236">
        <v>0</v>
      </c>
      <c r="S236">
        <v>0</v>
      </c>
      <c r="T236">
        <v>350</v>
      </c>
      <c r="U236">
        <v>0</v>
      </c>
      <c r="V236">
        <v>350</v>
      </c>
      <c r="W236" t="s">
        <v>42</v>
      </c>
      <c r="X236" s="6" t="s">
        <v>418</v>
      </c>
    </row>
    <row r="237" spans="1:24" hidden="1" x14ac:dyDescent="0.25">
      <c r="A237" t="s">
        <v>465</v>
      </c>
      <c r="B237" t="s">
        <v>103</v>
      </c>
      <c r="C237" t="s">
        <v>34</v>
      </c>
      <c r="D237">
        <v>18</v>
      </c>
      <c r="E237" t="s">
        <v>466</v>
      </c>
      <c r="F237" t="s">
        <v>132</v>
      </c>
      <c r="G237" t="s">
        <v>26</v>
      </c>
      <c r="H237" t="str">
        <f>INDEX(Table1[Diagnosis],MATCH(I237,'codeand diagnosis'!$A$2:$A$11,0))</f>
        <v>Dental examination</v>
      </c>
      <c r="I237" t="s">
        <v>45</v>
      </c>
      <c r="J237" t="str">
        <f>INDEX(Table1[ICD-10 Code],MATCH(Table2[[#This Row],[Treatment]],Table1[Treatment Type],0))</f>
        <v>Z01.2</v>
      </c>
      <c r="K237" t="s">
        <v>28</v>
      </c>
      <c r="L237" t="s">
        <v>28</v>
      </c>
      <c r="M237" t="s">
        <v>29</v>
      </c>
      <c r="N237">
        <f>Table2[[#This Row],[Total Paid]]+Table2[[#This Row],[Due]]</f>
        <v>200</v>
      </c>
      <c r="O237">
        <v>0</v>
      </c>
      <c r="P237">
        <v>0</v>
      </c>
      <c r="Q237">
        <v>200</v>
      </c>
      <c r="R237">
        <v>0</v>
      </c>
      <c r="S237">
        <v>0</v>
      </c>
      <c r="T237">
        <v>200</v>
      </c>
      <c r="U237">
        <v>0</v>
      </c>
      <c r="V237">
        <v>200</v>
      </c>
      <c r="W237" t="s">
        <v>42</v>
      </c>
      <c r="X237" s="6" t="s">
        <v>418</v>
      </c>
    </row>
    <row r="238" spans="1:24" hidden="1" x14ac:dyDescent="0.25">
      <c r="A238" t="s">
        <v>467</v>
      </c>
      <c r="B238" t="s">
        <v>94</v>
      </c>
      <c r="C238" t="s">
        <v>24</v>
      </c>
      <c r="D238">
        <v>73</v>
      </c>
      <c r="E238" t="s">
        <v>468</v>
      </c>
      <c r="F238" t="s">
        <v>35</v>
      </c>
      <c r="G238" t="s">
        <v>26</v>
      </c>
      <c r="H238" t="str">
        <f>INDEX(Table1[Diagnosis],MATCH(I238,'codeand diagnosis'!$A$2:$A$11,0))</f>
        <v>Gingivitis</v>
      </c>
      <c r="I238" t="s">
        <v>27</v>
      </c>
      <c r="J238" t="str">
        <f>INDEX(Table1[ICD-10 Code],MATCH(Table2[[#This Row],[Treatment]],Table1[Treatment Type],0))</f>
        <v>K05.10</v>
      </c>
      <c r="K238" t="s">
        <v>28</v>
      </c>
      <c r="L238" t="s">
        <v>28</v>
      </c>
      <c r="M238" t="s">
        <v>29</v>
      </c>
      <c r="N238">
        <f>Table2[[#This Row],[Total Paid]]+Table2[[#This Row],[Due]]</f>
        <v>609</v>
      </c>
      <c r="O238">
        <v>609</v>
      </c>
      <c r="P238">
        <v>0</v>
      </c>
      <c r="Q238">
        <v>0</v>
      </c>
      <c r="R238">
        <v>0</v>
      </c>
      <c r="S238">
        <v>0</v>
      </c>
      <c r="T238">
        <v>609</v>
      </c>
      <c r="U238">
        <v>0</v>
      </c>
      <c r="V238">
        <v>609</v>
      </c>
      <c r="W238" t="s">
        <v>30</v>
      </c>
      <c r="X238" s="6" t="s">
        <v>418</v>
      </c>
    </row>
    <row r="239" spans="1:24" hidden="1" x14ac:dyDescent="0.25">
      <c r="A239" t="s">
        <v>469</v>
      </c>
      <c r="B239" t="s">
        <v>121</v>
      </c>
      <c r="C239" t="s">
        <v>34</v>
      </c>
      <c r="D239">
        <v>56</v>
      </c>
      <c r="E239" t="s">
        <v>468</v>
      </c>
      <c r="F239" t="s">
        <v>88</v>
      </c>
      <c r="G239" t="s">
        <v>26</v>
      </c>
      <c r="H239" t="str">
        <f>INDEX(Table1[Diagnosis],MATCH(I239,'codeand diagnosis'!$A$2:$A$11,0))</f>
        <v>Gingivitis</v>
      </c>
      <c r="I239" t="s">
        <v>27</v>
      </c>
      <c r="J239" t="str">
        <f>INDEX(Table1[ICD-10 Code],MATCH(Table2[[#This Row],[Treatment]],Table1[Treatment Type],0))</f>
        <v>K05.10</v>
      </c>
      <c r="K239" t="s">
        <v>28</v>
      </c>
      <c r="L239" t="s">
        <v>28</v>
      </c>
      <c r="M239" t="s">
        <v>29</v>
      </c>
      <c r="N239">
        <f>Table2[[#This Row],[Total Paid]]+Table2[[#This Row],[Due]]</f>
        <v>675</v>
      </c>
      <c r="O239">
        <v>675</v>
      </c>
      <c r="P239">
        <v>0</v>
      </c>
      <c r="Q239">
        <v>0</v>
      </c>
      <c r="R239">
        <v>0</v>
      </c>
      <c r="S239">
        <v>0</v>
      </c>
      <c r="T239">
        <v>675</v>
      </c>
      <c r="U239">
        <v>0</v>
      </c>
      <c r="V239">
        <v>675</v>
      </c>
      <c r="W239" t="s">
        <v>51</v>
      </c>
      <c r="X239" s="6" t="s">
        <v>418</v>
      </c>
    </row>
    <row r="240" spans="1:24" hidden="1" x14ac:dyDescent="0.25">
      <c r="A240" t="s">
        <v>470</v>
      </c>
      <c r="B240" t="s">
        <v>91</v>
      </c>
      <c r="C240" t="s">
        <v>34</v>
      </c>
      <c r="D240">
        <v>46</v>
      </c>
      <c r="E240" t="s">
        <v>471</v>
      </c>
      <c r="F240" t="s">
        <v>50</v>
      </c>
      <c r="G240" t="s">
        <v>36</v>
      </c>
      <c r="H240" t="str">
        <f>INDEX(Table1[Diagnosis],MATCH(I240,'codeand diagnosis'!$A$2:$A$11,0))</f>
        <v>Dental caries</v>
      </c>
      <c r="I240" t="s">
        <v>41</v>
      </c>
      <c r="J240" t="str">
        <f>INDEX(Table1[ICD-10 Code],MATCH(Table2[[#This Row],[Treatment]],Table1[Treatment Type],0))</f>
        <v>K02.9</v>
      </c>
      <c r="K240" t="s">
        <v>28</v>
      </c>
      <c r="L240" t="s">
        <v>28</v>
      </c>
      <c r="M240" t="s">
        <v>61</v>
      </c>
      <c r="N240">
        <f>Table2[[#This Row],[Total Paid]]+Table2[[#This Row],[Due]]</f>
        <v>630</v>
      </c>
      <c r="O240">
        <v>630</v>
      </c>
      <c r="P240">
        <v>0</v>
      </c>
      <c r="Q240">
        <v>0</v>
      </c>
      <c r="R240">
        <v>0</v>
      </c>
      <c r="S240">
        <v>0</v>
      </c>
      <c r="T240">
        <v>630</v>
      </c>
      <c r="U240">
        <v>0</v>
      </c>
      <c r="V240">
        <v>630</v>
      </c>
      <c r="W240" t="s">
        <v>42</v>
      </c>
      <c r="X240" s="6" t="s">
        <v>418</v>
      </c>
    </row>
    <row r="241" spans="1:24" hidden="1" x14ac:dyDescent="0.25">
      <c r="A241" t="s">
        <v>472</v>
      </c>
      <c r="B241" t="s">
        <v>128</v>
      </c>
      <c r="C241" t="s">
        <v>24</v>
      </c>
      <c r="D241">
        <v>28</v>
      </c>
      <c r="E241" s="1">
        <v>44992</v>
      </c>
      <c r="F241" t="s">
        <v>50</v>
      </c>
      <c r="G241" t="s">
        <v>26</v>
      </c>
      <c r="H241" t="str">
        <f>INDEX(Table1[Diagnosis],MATCH(I241,'codeand diagnosis'!$A$2:$A$11,0))</f>
        <v>Gingivitis</v>
      </c>
      <c r="I241" t="s">
        <v>27</v>
      </c>
      <c r="J241" t="str">
        <f>INDEX(Table1[ICD-10 Code],MATCH(Table2[[#This Row],[Treatment]],Table1[Treatment Type],0))</f>
        <v>K05.10</v>
      </c>
      <c r="K241" t="s">
        <v>28</v>
      </c>
      <c r="L241" t="s">
        <v>38</v>
      </c>
      <c r="M241" t="s">
        <v>29</v>
      </c>
      <c r="N241">
        <f>Table2[[#This Row],[Total Paid]]+Table2[[#This Row],[Due]]</f>
        <v>590</v>
      </c>
      <c r="O241">
        <v>590</v>
      </c>
      <c r="P241">
        <v>0</v>
      </c>
      <c r="Q241">
        <v>0</v>
      </c>
      <c r="R241">
        <v>0</v>
      </c>
      <c r="S241">
        <v>0</v>
      </c>
      <c r="T241">
        <v>590</v>
      </c>
      <c r="U241">
        <v>0</v>
      </c>
      <c r="V241">
        <v>590</v>
      </c>
      <c r="W241" t="s">
        <v>51</v>
      </c>
      <c r="X241" s="6" t="s">
        <v>473</v>
      </c>
    </row>
    <row r="242" spans="1:24" hidden="1" x14ac:dyDescent="0.25">
      <c r="A242" t="s">
        <v>474</v>
      </c>
      <c r="B242" t="s">
        <v>420</v>
      </c>
      <c r="C242" t="s">
        <v>34</v>
      </c>
      <c r="D242">
        <v>61</v>
      </c>
      <c r="E242" s="1">
        <v>44992</v>
      </c>
      <c r="F242" t="s">
        <v>25</v>
      </c>
      <c r="G242" t="s">
        <v>26</v>
      </c>
      <c r="H242" t="str">
        <f>INDEX(Table1[Diagnosis],MATCH(I242,'codeand diagnosis'!$A$2:$A$11,0))</f>
        <v>Dental examination</v>
      </c>
      <c r="I242" t="s">
        <v>45</v>
      </c>
      <c r="J242" t="str">
        <f>INDEX(Table1[ICD-10 Code],MATCH(Table2[[#This Row],[Treatment]],Table1[Treatment Type],0))</f>
        <v>Z01.2</v>
      </c>
      <c r="K242" t="s">
        <v>28</v>
      </c>
      <c r="L242" t="s">
        <v>28</v>
      </c>
      <c r="M242" t="s">
        <v>29</v>
      </c>
      <c r="N242">
        <f>Table2[[#This Row],[Total Paid]]+Table2[[#This Row],[Due]]</f>
        <v>200</v>
      </c>
      <c r="O242">
        <v>0</v>
      </c>
      <c r="P242">
        <v>0</v>
      </c>
      <c r="Q242">
        <v>200</v>
      </c>
      <c r="R242">
        <v>0</v>
      </c>
      <c r="S242">
        <v>0</v>
      </c>
      <c r="T242">
        <v>200</v>
      </c>
      <c r="U242">
        <v>0</v>
      </c>
      <c r="V242">
        <v>200</v>
      </c>
      <c r="W242" t="s">
        <v>42</v>
      </c>
      <c r="X242" s="6" t="s">
        <v>473</v>
      </c>
    </row>
    <row r="243" spans="1:24" hidden="1" x14ac:dyDescent="0.25">
      <c r="A243" t="s">
        <v>475</v>
      </c>
      <c r="B243" t="s">
        <v>82</v>
      </c>
      <c r="C243" t="s">
        <v>24</v>
      </c>
      <c r="D243">
        <v>17</v>
      </c>
      <c r="E243" s="1">
        <v>45023</v>
      </c>
      <c r="F243" t="s">
        <v>88</v>
      </c>
      <c r="G243" t="s">
        <v>26</v>
      </c>
      <c r="H243" t="str">
        <f>INDEX(Table1[Diagnosis],MATCH(I243,'codeand diagnosis'!$A$2:$A$11,0))</f>
        <v>Gingivitis</v>
      </c>
      <c r="I243" t="s">
        <v>27</v>
      </c>
      <c r="J243" t="str">
        <f>INDEX(Table1[ICD-10 Code],MATCH(Table2[[#This Row],[Treatment]],Table1[Treatment Type],0))</f>
        <v>K05.10</v>
      </c>
      <c r="K243" t="s">
        <v>28</v>
      </c>
      <c r="L243" t="s">
        <v>38</v>
      </c>
      <c r="M243" t="s">
        <v>46</v>
      </c>
      <c r="N243">
        <f>Table2[[#This Row],[Total Paid]]+Table2[[#This Row],[Due]]</f>
        <v>598</v>
      </c>
      <c r="O243">
        <v>598</v>
      </c>
      <c r="P243">
        <v>0</v>
      </c>
      <c r="Q243">
        <v>0</v>
      </c>
      <c r="R243">
        <v>0</v>
      </c>
      <c r="S243">
        <v>0</v>
      </c>
      <c r="T243">
        <v>598</v>
      </c>
      <c r="U243">
        <v>0</v>
      </c>
      <c r="V243">
        <v>598</v>
      </c>
      <c r="W243" t="s">
        <v>51</v>
      </c>
      <c r="X243" s="6" t="s">
        <v>473</v>
      </c>
    </row>
    <row r="244" spans="1:24" hidden="1" x14ac:dyDescent="0.25">
      <c r="A244" t="s">
        <v>476</v>
      </c>
      <c r="B244" t="s">
        <v>57</v>
      </c>
      <c r="C244" t="s">
        <v>24</v>
      </c>
      <c r="D244">
        <v>22</v>
      </c>
      <c r="E244" s="1">
        <v>45023</v>
      </c>
      <c r="F244" t="s">
        <v>88</v>
      </c>
      <c r="G244" t="s">
        <v>26</v>
      </c>
      <c r="H244" t="str">
        <f>INDEX(Table1[Diagnosis],MATCH(I244,'codeand diagnosis'!$A$2:$A$11,0))</f>
        <v>Dental examination with radiology</v>
      </c>
      <c r="I244" t="s">
        <v>37</v>
      </c>
      <c r="J244" t="str">
        <f>INDEX(Table1[ICD-10 Code],MATCH(Table2[[#This Row],[Treatment]],Table1[Treatment Type],0))</f>
        <v>Z01.2</v>
      </c>
      <c r="K244" t="s">
        <v>28</v>
      </c>
      <c r="L244" t="s">
        <v>38</v>
      </c>
      <c r="M244" t="s">
        <v>29</v>
      </c>
      <c r="N244">
        <f>Table2[[#This Row],[Total Paid]]+Table2[[#This Row],[Due]]</f>
        <v>350</v>
      </c>
      <c r="O244">
        <v>0</v>
      </c>
      <c r="P244">
        <v>150</v>
      </c>
      <c r="Q244">
        <v>200</v>
      </c>
      <c r="R244">
        <v>0</v>
      </c>
      <c r="S244">
        <v>0</v>
      </c>
      <c r="T244">
        <v>350</v>
      </c>
      <c r="U244">
        <v>0</v>
      </c>
      <c r="V244">
        <v>350</v>
      </c>
      <c r="W244" t="s">
        <v>42</v>
      </c>
      <c r="X244" s="6" t="s">
        <v>473</v>
      </c>
    </row>
    <row r="245" spans="1:24" hidden="1" x14ac:dyDescent="0.25">
      <c r="A245" t="s">
        <v>477</v>
      </c>
      <c r="B245" t="s">
        <v>237</v>
      </c>
      <c r="C245" t="s">
        <v>34</v>
      </c>
      <c r="D245">
        <v>56</v>
      </c>
      <c r="E245" s="1">
        <v>45053</v>
      </c>
      <c r="F245" t="s">
        <v>132</v>
      </c>
      <c r="G245" t="s">
        <v>26</v>
      </c>
      <c r="H245" t="str">
        <f>INDEX(Table1[Diagnosis],MATCH(I245,'codeand diagnosis'!$A$2:$A$11,0))</f>
        <v>Malocclusion</v>
      </c>
      <c r="I245" t="s">
        <v>89</v>
      </c>
      <c r="J245" t="str">
        <f>INDEX(Table1[ICD-10 Code],MATCH(Table2[[#This Row],[Treatment]],Table1[Treatment Type],0))</f>
        <v>K07.4</v>
      </c>
      <c r="K245" t="s">
        <v>28</v>
      </c>
      <c r="L245" t="s">
        <v>38</v>
      </c>
      <c r="M245" t="s">
        <v>29</v>
      </c>
      <c r="N245">
        <f>Table2[[#This Row],[Total Paid]]+Table2[[#This Row],[Due]]</f>
        <v>15653</v>
      </c>
      <c r="O245">
        <v>15653</v>
      </c>
      <c r="P245">
        <v>0</v>
      </c>
      <c r="Q245">
        <v>0</v>
      </c>
      <c r="R245">
        <v>4260</v>
      </c>
      <c r="S245">
        <v>0</v>
      </c>
      <c r="T245">
        <v>15653</v>
      </c>
      <c r="U245">
        <v>0</v>
      </c>
      <c r="V245">
        <v>11393</v>
      </c>
      <c r="W245" t="s">
        <v>42</v>
      </c>
      <c r="X245" s="6" t="s">
        <v>473</v>
      </c>
    </row>
    <row r="246" spans="1:24" hidden="1" x14ac:dyDescent="0.25">
      <c r="A246" t="s">
        <v>478</v>
      </c>
      <c r="B246" t="s">
        <v>428</v>
      </c>
      <c r="C246" t="s">
        <v>24</v>
      </c>
      <c r="D246">
        <v>79</v>
      </c>
      <c r="E246" s="1">
        <v>45084</v>
      </c>
      <c r="F246" t="s">
        <v>50</v>
      </c>
      <c r="G246" t="s">
        <v>26</v>
      </c>
      <c r="H246" t="str">
        <f>INDEX(Table1[Diagnosis],MATCH(I246,'codeand diagnosis'!$A$2:$A$11,0))</f>
        <v>Dental examination with radiology</v>
      </c>
      <c r="I246" t="s">
        <v>37</v>
      </c>
      <c r="J246" t="str">
        <f>INDEX(Table1[ICD-10 Code],MATCH(Table2[[#This Row],[Treatment]],Table1[Treatment Type],0))</f>
        <v>Z01.2</v>
      </c>
      <c r="K246" t="s">
        <v>28</v>
      </c>
      <c r="L246" t="s">
        <v>38</v>
      </c>
      <c r="M246" t="s">
        <v>29</v>
      </c>
      <c r="N246">
        <f>Table2[[#This Row],[Total Paid]]+Table2[[#This Row],[Due]]</f>
        <v>350</v>
      </c>
      <c r="O246">
        <v>0</v>
      </c>
      <c r="P246">
        <v>150</v>
      </c>
      <c r="Q246">
        <v>200</v>
      </c>
      <c r="R246">
        <v>0</v>
      </c>
      <c r="S246">
        <v>0</v>
      </c>
      <c r="T246">
        <v>350</v>
      </c>
      <c r="U246">
        <v>0</v>
      </c>
      <c r="V246">
        <v>350</v>
      </c>
      <c r="W246" t="s">
        <v>51</v>
      </c>
      <c r="X246" s="6" t="s">
        <v>473</v>
      </c>
    </row>
    <row r="247" spans="1:24" hidden="1" x14ac:dyDescent="0.25">
      <c r="A247" t="s">
        <v>479</v>
      </c>
      <c r="B247" t="s">
        <v>428</v>
      </c>
      <c r="C247" t="s">
        <v>24</v>
      </c>
      <c r="D247">
        <v>28</v>
      </c>
      <c r="E247" s="1">
        <v>45084</v>
      </c>
      <c r="F247" t="s">
        <v>88</v>
      </c>
      <c r="G247" t="s">
        <v>26</v>
      </c>
      <c r="H247" t="str">
        <f>INDEX(Table1[Diagnosis],MATCH(I247,'codeand diagnosis'!$A$2:$A$11,0))</f>
        <v>Dental examination with radiology</v>
      </c>
      <c r="I247" t="s">
        <v>37</v>
      </c>
      <c r="J247" t="str">
        <f>INDEX(Table1[ICD-10 Code],MATCH(Table2[[#This Row],[Treatment]],Table1[Treatment Type],0))</f>
        <v>Z01.2</v>
      </c>
      <c r="K247" t="s">
        <v>28</v>
      </c>
      <c r="L247" t="s">
        <v>38</v>
      </c>
      <c r="M247" t="s">
        <v>29</v>
      </c>
      <c r="N247">
        <f>Table2[[#This Row],[Total Paid]]+Table2[[#This Row],[Due]]</f>
        <v>210</v>
      </c>
      <c r="O247">
        <v>0</v>
      </c>
      <c r="P247">
        <v>150</v>
      </c>
      <c r="Q247">
        <v>200</v>
      </c>
      <c r="R247">
        <v>0</v>
      </c>
      <c r="S247">
        <v>140</v>
      </c>
      <c r="T247">
        <v>210</v>
      </c>
      <c r="U247">
        <v>0</v>
      </c>
      <c r="V247">
        <v>210</v>
      </c>
      <c r="W247" t="s">
        <v>51</v>
      </c>
      <c r="X247" s="6" t="s">
        <v>473</v>
      </c>
    </row>
    <row r="248" spans="1:24" hidden="1" x14ac:dyDescent="0.25">
      <c r="A248" t="s">
        <v>480</v>
      </c>
      <c r="B248" t="s">
        <v>80</v>
      </c>
      <c r="C248" t="s">
        <v>34</v>
      </c>
      <c r="D248">
        <v>34</v>
      </c>
      <c r="E248" s="1">
        <v>45114</v>
      </c>
      <c r="F248" t="s">
        <v>50</v>
      </c>
      <c r="G248" t="s">
        <v>36</v>
      </c>
      <c r="H248" t="str">
        <f>INDEX(Table1[Diagnosis],MATCH(I248,'codeand diagnosis'!$A$2:$A$11,0))</f>
        <v>Dental examination</v>
      </c>
      <c r="I248" t="s">
        <v>45</v>
      </c>
      <c r="J248" t="str">
        <f>INDEX(Table1[ICD-10 Code],MATCH(Table2[[#This Row],[Treatment]],Table1[Treatment Type],0))</f>
        <v>Z01.2</v>
      </c>
      <c r="K248" t="s">
        <v>28</v>
      </c>
      <c r="L248" t="s">
        <v>28</v>
      </c>
      <c r="M248" t="s">
        <v>29</v>
      </c>
      <c r="N248">
        <f>Table2[[#This Row],[Total Paid]]+Table2[[#This Row],[Due]]</f>
        <v>200</v>
      </c>
      <c r="O248">
        <v>0</v>
      </c>
      <c r="P248">
        <v>0</v>
      </c>
      <c r="Q248">
        <v>200</v>
      </c>
      <c r="R248">
        <v>0</v>
      </c>
      <c r="S248">
        <v>0</v>
      </c>
      <c r="T248">
        <v>200</v>
      </c>
      <c r="U248">
        <v>0</v>
      </c>
      <c r="V248">
        <v>200</v>
      </c>
      <c r="W248" t="s">
        <v>42</v>
      </c>
      <c r="X248" s="6" t="s">
        <v>473</v>
      </c>
    </row>
    <row r="249" spans="1:24" hidden="1" x14ac:dyDescent="0.25">
      <c r="A249" t="s">
        <v>481</v>
      </c>
      <c r="B249" t="s">
        <v>94</v>
      </c>
      <c r="C249" t="s">
        <v>24</v>
      </c>
      <c r="D249">
        <v>71</v>
      </c>
      <c r="E249" s="1">
        <v>45114</v>
      </c>
      <c r="F249" t="s">
        <v>54</v>
      </c>
      <c r="G249" t="s">
        <v>26</v>
      </c>
      <c r="H249" t="str">
        <f>INDEX(Table1[Diagnosis],MATCH(I249,'codeand diagnosis'!$A$2:$A$11,0))</f>
        <v>Pulpitis</v>
      </c>
      <c r="I249" t="s">
        <v>111</v>
      </c>
      <c r="J249" t="str">
        <f>INDEX(Table1[ICD-10 Code],MATCH(Table2[[#This Row],[Treatment]],Table1[Treatment Type],0))</f>
        <v>K04.0</v>
      </c>
      <c r="K249" t="s">
        <v>28</v>
      </c>
      <c r="L249" t="s">
        <v>38</v>
      </c>
      <c r="M249" t="s">
        <v>29</v>
      </c>
      <c r="N249">
        <f>Table2[[#This Row],[Total Paid]]+Table2[[#This Row],[Due]]</f>
        <v>2905</v>
      </c>
      <c r="O249">
        <v>3105</v>
      </c>
      <c r="P249">
        <v>0</v>
      </c>
      <c r="Q249">
        <v>0</v>
      </c>
      <c r="R249">
        <v>0</v>
      </c>
      <c r="S249">
        <v>200</v>
      </c>
      <c r="T249">
        <v>2905</v>
      </c>
      <c r="U249">
        <v>0</v>
      </c>
      <c r="V249">
        <v>2905</v>
      </c>
      <c r="W249" t="s">
        <v>47</v>
      </c>
      <c r="X249" s="6" t="s">
        <v>473</v>
      </c>
    </row>
    <row r="250" spans="1:24" hidden="1" x14ac:dyDescent="0.25">
      <c r="A250" t="s">
        <v>482</v>
      </c>
      <c r="B250" t="s">
        <v>284</v>
      </c>
      <c r="C250" t="s">
        <v>34</v>
      </c>
      <c r="D250">
        <v>20</v>
      </c>
      <c r="E250" s="1">
        <v>45114</v>
      </c>
      <c r="F250" t="s">
        <v>25</v>
      </c>
      <c r="G250" t="s">
        <v>26</v>
      </c>
      <c r="H250" t="str">
        <f>INDEX(Table1[Diagnosis],MATCH(I250,'codeand diagnosis'!$A$2:$A$11,0))</f>
        <v>Dental examination with radiology</v>
      </c>
      <c r="I250" t="s">
        <v>37</v>
      </c>
      <c r="J250" t="str">
        <f>INDEX(Table1[ICD-10 Code],MATCH(Table2[[#This Row],[Treatment]],Table1[Treatment Type],0))</f>
        <v>Z01.2</v>
      </c>
      <c r="K250" t="s">
        <v>28</v>
      </c>
      <c r="L250" t="s">
        <v>38</v>
      </c>
      <c r="M250" t="s">
        <v>29</v>
      </c>
      <c r="N250">
        <f>Table2[[#This Row],[Total Paid]]+Table2[[#This Row],[Due]]</f>
        <v>350</v>
      </c>
      <c r="O250">
        <v>0</v>
      </c>
      <c r="P250">
        <v>150</v>
      </c>
      <c r="Q250">
        <v>200</v>
      </c>
      <c r="R250">
        <v>0</v>
      </c>
      <c r="S250">
        <v>0</v>
      </c>
      <c r="T250">
        <v>350</v>
      </c>
      <c r="U250">
        <v>0</v>
      </c>
      <c r="V250">
        <v>350</v>
      </c>
      <c r="W250" t="s">
        <v>42</v>
      </c>
      <c r="X250" s="6" t="s">
        <v>473</v>
      </c>
    </row>
    <row r="251" spans="1:24" hidden="1" x14ac:dyDescent="0.25">
      <c r="A251" t="s">
        <v>483</v>
      </c>
      <c r="B251" t="s">
        <v>188</v>
      </c>
      <c r="C251" t="s">
        <v>34</v>
      </c>
      <c r="D251">
        <v>25</v>
      </c>
      <c r="E251" s="1">
        <v>45145</v>
      </c>
      <c r="F251" t="s">
        <v>35</v>
      </c>
      <c r="G251" t="s">
        <v>26</v>
      </c>
      <c r="H251" t="str">
        <f>INDEX(Table1[Diagnosis],MATCH(I251,'codeand diagnosis'!$A$2:$A$11,0))</f>
        <v>Dental examination</v>
      </c>
      <c r="I251" t="s">
        <v>45</v>
      </c>
      <c r="J251" t="str">
        <f>INDEX(Table1[ICD-10 Code],MATCH(Table2[[#This Row],[Treatment]],Table1[Treatment Type],0))</f>
        <v>Z01.2</v>
      </c>
      <c r="K251" t="s">
        <v>28</v>
      </c>
      <c r="L251" t="s">
        <v>28</v>
      </c>
      <c r="M251" t="s">
        <v>29</v>
      </c>
      <c r="N251">
        <f>Table2[[#This Row],[Total Paid]]+Table2[[#This Row],[Due]]</f>
        <v>120</v>
      </c>
      <c r="O251">
        <v>0</v>
      </c>
      <c r="P251">
        <v>0</v>
      </c>
      <c r="Q251">
        <v>200</v>
      </c>
      <c r="R251">
        <v>0</v>
      </c>
      <c r="S251">
        <v>80</v>
      </c>
      <c r="T251">
        <v>120</v>
      </c>
      <c r="U251">
        <v>0</v>
      </c>
      <c r="V251">
        <v>120</v>
      </c>
      <c r="W251" t="s">
        <v>51</v>
      </c>
      <c r="X251" s="6" t="s">
        <v>473</v>
      </c>
    </row>
    <row r="252" spans="1:24" hidden="1" x14ac:dyDescent="0.25">
      <c r="A252" t="s">
        <v>484</v>
      </c>
      <c r="B252" t="s">
        <v>374</v>
      </c>
      <c r="C252" t="s">
        <v>34</v>
      </c>
      <c r="D252">
        <v>25</v>
      </c>
      <c r="E252" s="1">
        <v>45267</v>
      </c>
      <c r="F252" t="s">
        <v>50</v>
      </c>
      <c r="G252" t="s">
        <v>36</v>
      </c>
      <c r="H252" t="str">
        <f>INDEX(Table1[Diagnosis],MATCH(I252,'codeand diagnosis'!$A$2:$A$11,0))</f>
        <v>Dental caries</v>
      </c>
      <c r="I252" t="s">
        <v>41</v>
      </c>
      <c r="J252" t="str">
        <f>INDEX(Table1[ICD-10 Code],MATCH(Table2[[#This Row],[Treatment]],Table1[Treatment Type],0))</f>
        <v>K02.9</v>
      </c>
      <c r="K252" t="s">
        <v>28</v>
      </c>
      <c r="L252" t="s">
        <v>38</v>
      </c>
      <c r="M252" t="s">
        <v>29</v>
      </c>
      <c r="N252">
        <f>Table2[[#This Row],[Total Paid]]+Table2[[#This Row],[Due]]</f>
        <v>999</v>
      </c>
      <c r="O252">
        <v>999</v>
      </c>
      <c r="P252">
        <v>0</v>
      </c>
      <c r="Q252">
        <v>0</v>
      </c>
      <c r="R252">
        <v>0</v>
      </c>
      <c r="S252">
        <v>0</v>
      </c>
      <c r="T252">
        <v>999</v>
      </c>
      <c r="U252">
        <v>0</v>
      </c>
      <c r="V252">
        <v>999</v>
      </c>
      <c r="W252" t="s">
        <v>47</v>
      </c>
      <c r="X252" s="6" t="s">
        <v>473</v>
      </c>
    </row>
    <row r="253" spans="1:24" hidden="1" x14ac:dyDescent="0.25">
      <c r="A253" t="s">
        <v>485</v>
      </c>
      <c r="B253" t="s">
        <v>77</v>
      </c>
      <c r="C253" t="s">
        <v>34</v>
      </c>
      <c r="D253">
        <v>11</v>
      </c>
      <c r="E253" s="1">
        <v>45267</v>
      </c>
      <c r="F253" t="s">
        <v>132</v>
      </c>
      <c r="G253" t="s">
        <v>26</v>
      </c>
      <c r="H253" t="str">
        <f>INDEX(Table1[Diagnosis],MATCH(I253,'codeand diagnosis'!$A$2:$A$11,0))</f>
        <v>Dental examination</v>
      </c>
      <c r="I253" t="s">
        <v>45</v>
      </c>
      <c r="J253" t="str">
        <f>INDEX(Table1[ICD-10 Code],MATCH(Table2[[#This Row],[Treatment]],Table1[Treatment Type],0))</f>
        <v>Z01.2</v>
      </c>
      <c r="K253" t="s">
        <v>28</v>
      </c>
      <c r="L253" t="s">
        <v>28</v>
      </c>
      <c r="M253" t="s">
        <v>29</v>
      </c>
      <c r="N253">
        <f>Table2[[#This Row],[Total Paid]]+Table2[[#This Row],[Due]]</f>
        <v>200</v>
      </c>
      <c r="O253">
        <v>0</v>
      </c>
      <c r="P253">
        <v>0</v>
      </c>
      <c r="Q253">
        <v>200</v>
      </c>
      <c r="R253">
        <v>0</v>
      </c>
      <c r="S253">
        <v>0</v>
      </c>
      <c r="T253">
        <v>200</v>
      </c>
      <c r="U253">
        <v>0</v>
      </c>
      <c r="V253">
        <v>200</v>
      </c>
      <c r="W253" t="s">
        <v>42</v>
      </c>
      <c r="X253" s="6" t="s">
        <v>473</v>
      </c>
    </row>
    <row r="254" spans="1:24" hidden="1" x14ac:dyDescent="0.25">
      <c r="A254" t="s">
        <v>486</v>
      </c>
      <c r="B254" t="s">
        <v>167</v>
      </c>
      <c r="C254" t="s">
        <v>24</v>
      </c>
      <c r="D254">
        <v>17</v>
      </c>
      <c r="E254" t="s">
        <v>487</v>
      </c>
      <c r="F254" t="s">
        <v>88</v>
      </c>
      <c r="G254" t="s">
        <v>26</v>
      </c>
      <c r="H254" t="str">
        <f>INDEX(Table1[Diagnosis],MATCH(I254,'codeand diagnosis'!$A$2:$A$11,0))</f>
        <v>Dental examination</v>
      </c>
      <c r="I254" t="s">
        <v>45</v>
      </c>
      <c r="J254" t="str">
        <f>INDEX(Table1[ICD-10 Code],MATCH(Table2[[#This Row],[Treatment]],Table1[Treatment Type],0))</f>
        <v>Z01.2</v>
      </c>
      <c r="K254" t="s">
        <v>28</v>
      </c>
      <c r="L254" t="s">
        <v>28</v>
      </c>
      <c r="M254" t="s">
        <v>29</v>
      </c>
      <c r="N254">
        <f>Table2[[#This Row],[Total Paid]]+Table2[[#This Row],[Due]]</f>
        <v>200</v>
      </c>
      <c r="O254">
        <v>0</v>
      </c>
      <c r="P254">
        <v>0</v>
      </c>
      <c r="Q254">
        <v>200</v>
      </c>
      <c r="R254">
        <v>0</v>
      </c>
      <c r="S254">
        <v>0</v>
      </c>
      <c r="T254">
        <v>200</v>
      </c>
      <c r="U254">
        <v>0</v>
      </c>
      <c r="V254">
        <v>200</v>
      </c>
      <c r="W254" t="s">
        <v>51</v>
      </c>
      <c r="X254" s="6" t="s">
        <v>473</v>
      </c>
    </row>
    <row r="255" spans="1:24" hidden="1" x14ac:dyDescent="0.25">
      <c r="A255" t="s">
        <v>488</v>
      </c>
      <c r="B255" t="s">
        <v>304</v>
      </c>
      <c r="C255" t="s">
        <v>34</v>
      </c>
      <c r="D255">
        <v>8</v>
      </c>
      <c r="E255" t="s">
        <v>489</v>
      </c>
      <c r="F255" t="s">
        <v>132</v>
      </c>
      <c r="G255" t="s">
        <v>36</v>
      </c>
      <c r="H255" t="str">
        <f>INDEX(Table1[Diagnosis],MATCH(I255,'codeand diagnosis'!$A$2:$A$11,0))</f>
        <v>Dental examination with radiology</v>
      </c>
      <c r="I255" t="s">
        <v>37</v>
      </c>
      <c r="J255" t="str">
        <f>INDEX(Table1[ICD-10 Code],MATCH(Table2[[#This Row],[Treatment]],Table1[Treatment Type],0))</f>
        <v>Z01.2</v>
      </c>
      <c r="K255" t="s">
        <v>28</v>
      </c>
      <c r="L255" t="s">
        <v>38</v>
      </c>
      <c r="M255" t="s">
        <v>29</v>
      </c>
      <c r="N255">
        <f>Table2[[#This Row],[Total Paid]]+Table2[[#This Row],[Due]]</f>
        <v>210</v>
      </c>
      <c r="O255">
        <v>0</v>
      </c>
      <c r="P255">
        <v>150</v>
      </c>
      <c r="Q255">
        <v>200</v>
      </c>
      <c r="R255">
        <v>0</v>
      </c>
      <c r="S255">
        <v>140</v>
      </c>
      <c r="T255">
        <v>210</v>
      </c>
      <c r="U255">
        <v>0</v>
      </c>
      <c r="V255">
        <v>210</v>
      </c>
      <c r="W255" t="s">
        <v>51</v>
      </c>
      <c r="X255" s="6" t="s">
        <v>473</v>
      </c>
    </row>
    <row r="256" spans="1:24" hidden="1" x14ac:dyDescent="0.25">
      <c r="A256" t="s">
        <v>490</v>
      </c>
      <c r="B256" t="s">
        <v>275</v>
      </c>
      <c r="C256" t="s">
        <v>34</v>
      </c>
      <c r="D256">
        <v>35</v>
      </c>
      <c r="E256" t="s">
        <v>491</v>
      </c>
      <c r="F256" t="s">
        <v>35</v>
      </c>
      <c r="G256" t="s">
        <v>26</v>
      </c>
      <c r="H256" t="str">
        <f>INDEX(Table1[Diagnosis],MATCH(I256,'codeand diagnosis'!$A$2:$A$11,0))</f>
        <v>Dental examination with radiology</v>
      </c>
      <c r="I256" t="s">
        <v>37</v>
      </c>
      <c r="J256" t="str">
        <f>INDEX(Table1[ICD-10 Code],MATCH(Table2[[#This Row],[Treatment]],Table1[Treatment Type],0))</f>
        <v>Z01.2</v>
      </c>
      <c r="K256" t="s">
        <v>28</v>
      </c>
      <c r="L256" t="s">
        <v>38</v>
      </c>
      <c r="M256" t="s">
        <v>46</v>
      </c>
      <c r="N256">
        <f>Table2[[#This Row],[Total Paid]]+Table2[[#This Row],[Due]]</f>
        <v>210</v>
      </c>
      <c r="O256">
        <v>0</v>
      </c>
      <c r="P256">
        <v>150</v>
      </c>
      <c r="Q256">
        <v>200</v>
      </c>
      <c r="R256">
        <v>0</v>
      </c>
      <c r="S256">
        <v>140</v>
      </c>
      <c r="T256">
        <v>210</v>
      </c>
      <c r="U256">
        <v>0</v>
      </c>
      <c r="V256">
        <v>210</v>
      </c>
      <c r="W256" t="s">
        <v>51</v>
      </c>
      <c r="X256" s="6" t="s">
        <v>473</v>
      </c>
    </row>
    <row r="257" spans="1:24" hidden="1" x14ac:dyDescent="0.25">
      <c r="A257" t="s">
        <v>492</v>
      </c>
      <c r="B257" t="s">
        <v>121</v>
      </c>
      <c r="C257" t="s">
        <v>34</v>
      </c>
      <c r="D257">
        <v>12</v>
      </c>
      <c r="E257" t="s">
        <v>491</v>
      </c>
      <c r="F257" t="s">
        <v>50</v>
      </c>
      <c r="G257" t="s">
        <v>26</v>
      </c>
      <c r="H257" t="str">
        <f>INDEX(Table1[Diagnosis],MATCH(I257,'codeand diagnosis'!$A$2:$A$11,0))</f>
        <v>Malocclusion</v>
      </c>
      <c r="I257" t="s">
        <v>89</v>
      </c>
      <c r="J257" t="str">
        <f>INDEX(Table1[ICD-10 Code],MATCH(Table2[[#This Row],[Treatment]],Table1[Treatment Type],0))</f>
        <v>K07.4</v>
      </c>
      <c r="K257" t="s">
        <v>28</v>
      </c>
      <c r="L257" t="s">
        <v>38</v>
      </c>
      <c r="M257" t="s">
        <v>61</v>
      </c>
      <c r="N257">
        <f>Table2[[#This Row],[Total Paid]]+Table2[[#This Row],[Due]]</f>
        <v>17109</v>
      </c>
      <c r="O257">
        <v>17409</v>
      </c>
      <c r="P257">
        <v>0</v>
      </c>
      <c r="Q257">
        <v>0</v>
      </c>
      <c r="R257">
        <v>3360</v>
      </c>
      <c r="S257">
        <v>300</v>
      </c>
      <c r="T257">
        <v>17109</v>
      </c>
      <c r="U257">
        <v>0</v>
      </c>
      <c r="V257">
        <v>13749</v>
      </c>
      <c r="W257" t="s">
        <v>51</v>
      </c>
      <c r="X257" s="6" t="s">
        <v>473</v>
      </c>
    </row>
    <row r="258" spans="1:24" hidden="1" x14ac:dyDescent="0.25">
      <c r="A258" t="s">
        <v>493</v>
      </c>
      <c r="B258" t="s">
        <v>100</v>
      </c>
      <c r="C258" t="s">
        <v>34</v>
      </c>
      <c r="D258">
        <v>6</v>
      </c>
      <c r="E258" t="s">
        <v>494</v>
      </c>
      <c r="F258" t="s">
        <v>359</v>
      </c>
      <c r="G258" t="s">
        <v>26</v>
      </c>
      <c r="H258" t="str">
        <f>INDEX(Table1[Diagnosis],MATCH(I258,'codeand diagnosis'!$A$2:$A$11,0))</f>
        <v>Dental examination</v>
      </c>
      <c r="I258" t="s">
        <v>45</v>
      </c>
      <c r="J258" t="str">
        <f>INDEX(Table1[ICD-10 Code],MATCH(Table2[[#This Row],[Treatment]],Table1[Treatment Type],0))</f>
        <v>Z01.2</v>
      </c>
      <c r="K258" t="s">
        <v>28</v>
      </c>
      <c r="L258" t="s">
        <v>28</v>
      </c>
      <c r="M258" t="s">
        <v>29</v>
      </c>
      <c r="N258">
        <f>Table2[[#This Row],[Total Paid]]+Table2[[#This Row],[Due]]</f>
        <v>120</v>
      </c>
      <c r="O258">
        <v>0</v>
      </c>
      <c r="P258">
        <v>0</v>
      </c>
      <c r="Q258">
        <v>200</v>
      </c>
      <c r="R258">
        <v>0</v>
      </c>
      <c r="S258">
        <v>80</v>
      </c>
      <c r="T258">
        <v>120</v>
      </c>
      <c r="U258">
        <v>0</v>
      </c>
      <c r="V258">
        <v>120</v>
      </c>
      <c r="W258" t="s">
        <v>42</v>
      </c>
      <c r="X258" s="6" t="s">
        <v>473</v>
      </c>
    </row>
    <row r="259" spans="1:24" hidden="1" x14ac:dyDescent="0.25">
      <c r="A259" t="s">
        <v>495</v>
      </c>
      <c r="B259" t="s">
        <v>314</v>
      </c>
      <c r="C259" t="s">
        <v>24</v>
      </c>
      <c r="D259">
        <v>52</v>
      </c>
      <c r="E259" t="s">
        <v>496</v>
      </c>
      <c r="F259" t="s">
        <v>50</v>
      </c>
      <c r="G259" t="s">
        <v>36</v>
      </c>
      <c r="H259" t="str">
        <f>INDEX(Table1[Diagnosis],MATCH(I259,'codeand diagnosis'!$A$2:$A$11,0))</f>
        <v>Dental examination with radiology</v>
      </c>
      <c r="I259" t="s">
        <v>37</v>
      </c>
      <c r="J259" t="str">
        <f>INDEX(Table1[ICD-10 Code],MATCH(Table2[[#This Row],[Treatment]],Table1[Treatment Type],0))</f>
        <v>Z01.2</v>
      </c>
      <c r="K259" t="s">
        <v>28</v>
      </c>
      <c r="L259" t="s">
        <v>38</v>
      </c>
      <c r="M259" t="s">
        <v>29</v>
      </c>
      <c r="N259">
        <f>Table2[[#This Row],[Total Paid]]+Table2[[#This Row],[Due]]</f>
        <v>210</v>
      </c>
      <c r="O259">
        <v>0</v>
      </c>
      <c r="P259">
        <v>150</v>
      </c>
      <c r="Q259">
        <v>200</v>
      </c>
      <c r="R259">
        <v>0</v>
      </c>
      <c r="S259">
        <v>140</v>
      </c>
      <c r="T259">
        <v>210</v>
      </c>
      <c r="U259">
        <v>0</v>
      </c>
      <c r="V259">
        <v>210</v>
      </c>
      <c r="W259" t="s">
        <v>51</v>
      </c>
      <c r="X259" s="6" t="s">
        <v>473</v>
      </c>
    </row>
    <row r="260" spans="1:24" hidden="1" x14ac:dyDescent="0.25">
      <c r="A260" t="s">
        <v>497</v>
      </c>
      <c r="B260" t="s">
        <v>363</v>
      </c>
      <c r="C260" t="s">
        <v>34</v>
      </c>
      <c r="D260">
        <v>55</v>
      </c>
      <c r="E260" t="s">
        <v>496</v>
      </c>
      <c r="F260" t="s">
        <v>92</v>
      </c>
      <c r="G260" t="s">
        <v>26</v>
      </c>
      <c r="H260" t="str">
        <f>INDEX(Table1[Diagnosis],MATCH(I260,'codeand diagnosis'!$A$2:$A$11,0))</f>
        <v>Dental examination with radiology</v>
      </c>
      <c r="I260" t="s">
        <v>37</v>
      </c>
      <c r="J260" t="str">
        <f>INDEX(Table1[ICD-10 Code],MATCH(Table2[[#This Row],[Treatment]],Table1[Treatment Type],0))</f>
        <v>Z01.2</v>
      </c>
      <c r="K260" t="s">
        <v>28</v>
      </c>
      <c r="L260" t="s">
        <v>38</v>
      </c>
      <c r="M260" t="s">
        <v>29</v>
      </c>
      <c r="N260">
        <f>Table2[[#This Row],[Total Paid]]+Table2[[#This Row],[Due]]</f>
        <v>210</v>
      </c>
      <c r="O260">
        <v>0</v>
      </c>
      <c r="P260">
        <v>150</v>
      </c>
      <c r="Q260">
        <v>200</v>
      </c>
      <c r="R260">
        <v>0</v>
      </c>
      <c r="S260">
        <v>140</v>
      </c>
      <c r="T260">
        <v>210</v>
      </c>
      <c r="U260">
        <v>0</v>
      </c>
      <c r="V260">
        <v>210</v>
      </c>
      <c r="W260" t="s">
        <v>42</v>
      </c>
      <c r="X260" s="6" t="s">
        <v>473</v>
      </c>
    </row>
    <row r="261" spans="1:24" hidden="1" x14ac:dyDescent="0.25">
      <c r="A261" t="s">
        <v>498</v>
      </c>
      <c r="B261" t="s">
        <v>290</v>
      </c>
      <c r="C261" t="s">
        <v>34</v>
      </c>
      <c r="D261">
        <v>57</v>
      </c>
      <c r="E261" t="s">
        <v>499</v>
      </c>
      <c r="F261" t="s">
        <v>35</v>
      </c>
      <c r="G261" t="s">
        <v>36</v>
      </c>
      <c r="H261" t="str">
        <f>INDEX(Table1[Diagnosis],MATCH(I261,'codeand diagnosis'!$A$2:$A$11,0))</f>
        <v>Dental examination with radiology</v>
      </c>
      <c r="I261" t="s">
        <v>37</v>
      </c>
      <c r="J261" t="str">
        <f>INDEX(Table1[ICD-10 Code],MATCH(Table2[[#This Row],[Treatment]],Table1[Treatment Type],0))</f>
        <v>Z01.2</v>
      </c>
      <c r="K261" t="s">
        <v>28</v>
      </c>
      <c r="L261" t="s">
        <v>38</v>
      </c>
      <c r="M261" t="s">
        <v>46</v>
      </c>
      <c r="N261">
        <f>Table2[[#This Row],[Total Paid]]+Table2[[#This Row],[Due]]</f>
        <v>350</v>
      </c>
      <c r="O261">
        <v>0</v>
      </c>
      <c r="P261">
        <v>150</v>
      </c>
      <c r="Q261">
        <v>200</v>
      </c>
      <c r="R261">
        <v>0</v>
      </c>
      <c r="S261">
        <v>0</v>
      </c>
      <c r="T261">
        <v>350</v>
      </c>
      <c r="U261">
        <v>0</v>
      </c>
      <c r="V261">
        <v>350</v>
      </c>
      <c r="W261" t="s">
        <v>51</v>
      </c>
      <c r="X261" s="6" t="s">
        <v>473</v>
      </c>
    </row>
    <row r="262" spans="1:24" hidden="1" x14ac:dyDescent="0.25">
      <c r="A262" t="s">
        <v>500</v>
      </c>
      <c r="B262" t="s">
        <v>167</v>
      </c>
      <c r="C262" t="s">
        <v>24</v>
      </c>
      <c r="D262">
        <v>50</v>
      </c>
      <c r="E262" t="s">
        <v>499</v>
      </c>
      <c r="F262" t="s">
        <v>50</v>
      </c>
      <c r="G262" t="s">
        <v>36</v>
      </c>
      <c r="H262" t="str">
        <f>INDEX(Table1[Diagnosis],MATCH(I262,'codeand diagnosis'!$A$2:$A$11,0))</f>
        <v>Dental examination</v>
      </c>
      <c r="I262" t="s">
        <v>45</v>
      </c>
      <c r="J262" t="str">
        <f>INDEX(Table1[ICD-10 Code],MATCH(Table2[[#This Row],[Treatment]],Table1[Treatment Type],0))</f>
        <v>Z01.2</v>
      </c>
      <c r="K262" t="s">
        <v>28</v>
      </c>
      <c r="L262" t="s">
        <v>28</v>
      </c>
      <c r="M262" t="s">
        <v>29</v>
      </c>
      <c r="N262">
        <f>Table2[[#This Row],[Total Paid]]+Table2[[#This Row],[Due]]</f>
        <v>120</v>
      </c>
      <c r="O262">
        <v>0</v>
      </c>
      <c r="P262">
        <v>0</v>
      </c>
      <c r="Q262">
        <v>200</v>
      </c>
      <c r="R262">
        <v>0</v>
      </c>
      <c r="S262">
        <v>80</v>
      </c>
      <c r="T262">
        <v>120</v>
      </c>
      <c r="U262">
        <v>0</v>
      </c>
      <c r="V262">
        <v>120</v>
      </c>
      <c r="W262" t="s">
        <v>51</v>
      </c>
      <c r="X262" s="6" t="s">
        <v>473</v>
      </c>
    </row>
    <row r="263" spans="1:24" hidden="1" x14ac:dyDescent="0.25">
      <c r="A263" t="s">
        <v>501</v>
      </c>
      <c r="B263" t="s">
        <v>148</v>
      </c>
      <c r="C263" t="s">
        <v>24</v>
      </c>
      <c r="D263">
        <v>19</v>
      </c>
      <c r="E263" t="s">
        <v>502</v>
      </c>
      <c r="F263" t="s">
        <v>88</v>
      </c>
      <c r="G263" t="s">
        <v>26</v>
      </c>
      <c r="H263" t="str">
        <f>INDEX(Table1[Diagnosis],MATCH(I263,'codeand diagnosis'!$A$2:$A$11,0))</f>
        <v>Malocclusion</v>
      </c>
      <c r="I263" t="s">
        <v>89</v>
      </c>
      <c r="J263" t="str">
        <f>INDEX(Table1[ICD-10 Code],MATCH(Table2[[#This Row],[Treatment]],Table1[Treatment Type],0))</f>
        <v>K07.4</v>
      </c>
      <c r="K263" t="s">
        <v>28</v>
      </c>
      <c r="L263" t="s">
        <v>28</v>
      </c>
      <c r="M263" t="s">
        <v>29</v>
      </c>
      <c r="N263">
        <f>Table2[[#This Row],[Total Paid]]+Table2[[#This Row],[Due]]</f>
        <v>16394</v>
      </c>
      <c r="O263">
        <v>16394</v>
      </c>
      <c r="P263">
        <v>0</v>
      </c>
      <c r="Q263">
        <v>0</v>
      </c>
      <c r="R263">
        <v>4490</v>
      </c>
      <c r="S263">
        <v>0</v>
      </c>
      <c r="T263">
        <v>16394</v>
      </c>
      <c r="U263">
        <v>0</v>
      </c>
      <c r="V263">
        <v>11904</v>
      </c>
      <c r="W263" t="s">
        <v>42</v>
      </c>
      <c r="X263" s="6" t="s">
        <v>473</v>
      </c>
    </row>
    <row r="264" spans="1:24" hidden="1" x14ac:dyDescent="0.25">
      <c r="A264" t="s">
        <v>503</v>
      </c>
      <c r="B264" t="s">
        <v>201</v>
      </c>
      <c r="C264" t="s">
        <v>34</v>
      </c>
      <c r="D264">
        <v>34</v>
      </c>
      <c r="E264" t="s">
        <v>502</v>
      </c>
      <c r="F264" t="s">
        <v>35</v>
      </c>
      <c r="G264" t="s">
        <v>26</v>
      </c>
      <c r="H264" t="str">
        <f>INDEX(Table1[Diagnosis],MATCH(I264,'codeand diagnosis'!$A$2:$A$11,0))</f>
        <v>Cosmetic procedure</v>
      </c>
      <c r="I264" t="s">
        <v>55</v>
      </c>
      <c r="J264" t="str">
        <f>INDEX(Table1[ICD-10 Code],MATCH(Table2[[#This Row],[Treatment]],Table1[Treatment Type],0))</f>
        <v>Z41.1</v>
      </c>
      <c r="K264" t="s">
        <v>28</v>
      </c>
      <c r="L264" t="s">
        <v>38</v>
      </c>
      <c r="M264" t="s">
        <v>29</v>
      </c>
      <c r="N264">
        <f>Table2[[#This Row],[Total Paid]]+Table2[[#This Row],[Due]]</f>
        <v>1299</v>
      </c>
      <c r="O264">
        <v>1299</v>
      </c>
      <c r="P264">
        <v>0</v>
      </c>
      <c r="Q264">
        <v>0</v>
      </c>
      <c r="R264">
        <v>0</v>
      </c>
      <c r="S264">
        <v>0</v>
      </c>
      <c r="T264">
        <v>1299</v>
      </c>
      <c r="U264">
        <v>0</v>
      </c>
      <c r="V264">
        <v>1299</v>
      </c>
      <c r="W264" t="s">
        <v>42</v>
      </c>
      <c r="X264" s="6" t="s">
        <v>473</v>
      </c>
    </row>
    <row r="265" spans="1:24" hidden="1" x14ac:dyDescent="0.25">
      <c r="A265" t="s">
        <v>504</v>
      </c>
      <c r="B265" t="s">
        <v>186</v>
      </c>
      <c r="C265" t="s">
        <v>34</v>
      </c>
      <c r="D265">
        <v>21</v>
      </c>
      <c r="E265" t="s">
        <v>505</v>
      </c>
      <c r="F265" t="s">
        <v>50</v>
      </c>
      <c r="G265" t="s">
        <v>26</v>
      </c>
      <c r="H265" t="str">
        <f>INDEX(Table1[Diagnosis],MATCH(I265,'codeand diagnosis'!$A$2:$A$11,0))</f>
        <v>Dental examination</v>
      </c>
      <c r="I265" t="s">
        <v>45</v>
      </c>
      <c r="J265" t="str">
        <f>INDEX(Table1[ICD-10 Code],MATCH(Table2[[#This Row],[Treatment]],Table1[Treatment Type],0))</f>
        <v>Z01.2</v>
      </c>
      <c r="K265" t="s">
        <v>28</v>
      </c>
      <c r="L265" t="s">
        <v>28</v>
      </c>
      <c r="M265" t="s">
        <v>29</v>
      </c>
      <c r="N265">
        <f>Table2[[#This Row],[Total Paid]]+Table2[[#This Row],[Due]]</f>
        <v>120</v>
      </c>
      <c r="O265">
        <v>0</v>
      </c>
      <c r="P265">
        <v>0</v>
      </c>
      <c r="Q265">
        <v>200</v>
      </c>
      <c r="R265">
        <v>0</v>
      </c>
      <c r="S265">
        <v>80</v>
      </c>
      <c r="T265">
        <v>120</v>
      </c>
      <c r="U265">
        <v>0</v>
      </c>
      <c r="V265">
        <v>120</v>
      </c>
      <c r="W265" t="s">
        <v>47</v>
      </c>
      <c r="X265" s="6" t="s">
        <v>473</v>
      </c>
    </row>
    <row r="266" spans="1:24" hidden="1" x14ac:dyDescent="0.25">
      <c r="A266" t="s">
        <v>506</v>
      </c>
      <c r="B266" t="s">
        <v>290</v>
      </c>
      <c r="C266" t="s">
        <v>34</v>
      </c>
      <c r="D266">
        <v>69</v>
      </c>
      <c r="E266" t="s">
        <v>505</v>
      </c>
      <c r="F266" t="s">
        <v>132</v>
      </c>
      <c r="G266" t="s">
        <v>26</v>
      </c>
      <c r="H266" t="str">
        <f>INDEX(Table1[Diagnosis],MATCH(I266,'codeand diagnosis'!$A$2:$A$11,0))</f>
        <v>Dental examination with radiology</v>
      </c>
      <c r="I266" t="s">
        <v>37</v>
      </c>
      <c r="J266" t="str">
        <f>INDEX(Table1[ICD-10 Code],MATCH(Table2[[#This Row],[Treatment]],Table1[Treatment Type],0))</f>
        <v>Z01.2</v>
      </c>
      <c r="K266" t="s">
        <v>28</v>
      </c>
      <c r="L266" t="s">
        <v>38</v>
      </c>
      <c r="M266" t="s">
        <v>29</v>
      </c>
      <c r="N266">
        <f>Table2[[#This Row],[Total Paid]]+Table2[[#This Row],[Due]]</f>
        <v>350</v>
      </c>
      <c r="O266">
        <v>0</v>
      </c>
      <c r="P266">
        <v>150</v>
      </c>
      <c r="Q266">
        <v>200</v>
      </c>
      <c r="R266">
        <v>0</v>
      </c>
      <c r="S266">
        <v>0</v>
      </c>
      <c r="T266">
        <v>350</v>
      </c>
      <c r="U266">
        <v>0</v>
      </c>
      <c r="V266">
        <v>350</v>
      </c>
      <c r="W266" t="s">
        <v>42</v>
      </c>
      <c r="X266" s="6" t="s">
        <v>473</v>
      </c>
    </row>
    <row r="267" spans="1:24" hidden="1" x14ac:dyDescent="0.25">
      <c r="A267" t="s">
        <v>507</v>
      </c>
      <c r="B267" t="s">
        <v>180</v>
      </c>
      <c r="C267" t="s">
        <v>24</v>
      </c>
      <c r="D267">
        <v>72</v>
      </c>
      <c r="E267" t="s">
        <v>508</v>
      </c>
      <c r="F267" t="s">
        <v>50</v>
      </c>
      <c r="G267" t="s">
        <v>36</v>
      </c>
      <c r="H267" t="str">
        <f>INDEX(Table1[Diagnosis],MATCH(I267,'codeand diagnosis'!$A$2:$A$11,0))</f>
        <v>Loss of teeth</v>
      </c>
      <c r="I267" t="s">
        <v>68</v>
      </c>
      <c r="J267" t="str">
        <f>INDEX(Table1[ICD-10 Code],MATCH(Table2[[#This Row],[Treatment]],Table1[Treatment Type],0))</f>
        <v>K08.1</v>
      </c>
      <c r="K267" t="s">
        <v>28</v>
      </c>
      <c r="L267" t="s">
        <v>28</v>
      </c>
      <c r="M267" t="s">
        <v>29</v>
      </c>
      <c r="N267">
        <f>Table2[[#This Row],[Total Paid]]+Table2[[#This Row],[Due]]</f>
        <v>761</v>
      </c>
      <c r="O267">
        <v>961</v>
      </c>
      <c r="P267">
        <v>0</v>
      </c>
      <c r="Q267">
        <v>0</v>
      </c>
      <c r="R267">
        <v>0</v>
      </c>
      <c r="S267">
        <v>200</v>
      </c>
      <c r="T267">
        <v>761</v>
      </c>
      <c r="U267">
        <v>0</v>
      </c>
      <c r="V267">
        <v>761</v>
      </c>
      <c r="W267" t="s">
        <v>51</v>
      </c>
      <c r="X267" s="6" t="s">
        <v>473</v>
      </c>
    </row>
    <row r="268" spans="1:24" hidden="1" x14ac:dyDescent="0.25">
      <c r="A268" t="s">
        <v>509</v>
      </c>
      <c r="B268" t="s">
        <v>161</v>
      </c>
      <c r="C268" t="s">
        <v>24</v>
      </c>
      <c r="D268">
        <v>22</v>
      </c>
      <c r="E268" t="s">
        <v>508</v>
      </c>
      <c r="F268" t="s">
        <v>168</v>
      </c>
      <c r="G268" t="s">
        <v>36</v>
      </c>
      <c r="H268" t="str">
        <f>INDEX(Table1[Diagnosis],MATCH(I268,'codeand diagnosis'!$A$2:$A$11,0))</f>
        <v>Dental examination</v>
      </c>
      <c r="I268" t="s">
        <v>45</v>
      </c>
      <c r="J268" t="str">
        <f>INDEX(Table1[ICD-10 Code],MATCH(Table2[[#This Row],[Treatment]],Table1[Treatment Type],0))</f>
        <v>Z01.2</v>
      </c>
      <c r="K268" t="s">
        <v>28</v>
      </c>
      <c r="L268" t="s">
        <v>28</v>
      </c>
      <c r="M268" t="s">
        <v>29</v>
      </c>
      <c r="N268">
        <f>Table2[[#This Row],[Total Paid]]+Table2[[#This Row],[Due]]</f>
        <v>200</v>
      </c>
      <c r="O268">
        <v>0</v>
      </c>
      <c r="P268">
        <v>0</v>
      </c>
      <c r="Q268">
        <v>200</v>
      </c>
      <c r="R268">
        <v>0</v>
      </c>
      <c r="S268">
        <v>0</v>
      </c>
      <c r="T268">
        <v>200</v>
      </c>
      <c r="U268">
        <v>0</v>
      </c>
      <c r="V268">
        <v>200</v>
      </c>
      <c r="W268" t="s">
        <v>47</v>
      </c>
      <c r="X268" s="6" t="s">
        <v>473</v>
      </c>
    </row>
    <row r="269" spans="1:24" hidden="1" x14ac:dyDescent="0.25">
      <c r="A269" t="s">
        <v>510</v>
      </c>
      <c r="B269" t="s">
        <v>94</v>
      </c>
      <c r="C269" t="s">
        <v>24</v>
      </c>
      <c r="D269">
        <v>13</v>
      </c>
      <c r="E269" t="s">
        <v>511</v>
      </c>
      <c r="F269" t="s">
        <v>132</v>
      </c>
      <c r="G269" t="s">
        <v>26</v>
      </c>
      <c r="H269" t="str">
        <f>INDEX(Table1[Diagnosis],MATCH(I269,'codeand diagnosis'!$A$2:$A$11,0))</f>
        <v>Missing teeth</v>
      </c>
      <c r="I269" t="s">
        <v>78</v>
      </c>
      <c r="J269" t="str">
        <f>INDEX(Table1[ICD-10 Code],MATCH(Table2[[#This Row],[Treatment]],Table1[Treatment Type],0))</f>
        <v>K08.1</v>
      </c>
      <c r="K269" t="s">
        <v>28</v>
      </c>
      <c r="L269" t="s">
        <v>38</v>
      </c>
      <c r="M269" t="s">
        <v>29</v>
      </c>
      <c r="N269">
        <f>Table2[[#This Row],[Total Paid]]+Table2[[#This Row],[Due]]</f>
        <v>22689</v>
      </c>
      <c r="O269">
        <v>22689</v>
      </c>
      <c r="P269">
        <v>0</v>
      </c>
      <c r="Q269">
        <v>0</v>
      </c>
      <c r="R269">
        <v>5980</v>
      </c>
      <c r="S269">
        <v>0</v>
      </c>
      <c r="T269">
        <v>22689</v>
      </c>
      <c r="U269">
        <v>0</v>
      </c>
      <c r="V269">
        <v>16709</v>
      </c>
      <c r="W269" t="s">
        <v>47</v>
      </c>
      <c r="X269" s="6" t="s">
        <v>473</v>
      </c>
    </row>
    <row r="270" spans="1:24" hidden="1" x14ac:dyDescent="0.25">
      <c r="A270" t="s">
        <v>512</v>
      </c>
      <c r="B270" t="s">
        <v>188</v>
      </c>
      <c r="C270" t="s">
        <v>34</v>
      </c>
      <c r="D270">
        <v>78</v>
      </c>
      <c r="E270" t="s">
        <v>511</v>
      </c>
      <c r="F270" t="s">
        <v>35</v>
      </c>
      <c r="G270" t="s">
        <v>26</v>
      </c>
      <c r="H270" t="str">
        <f>INDEX(Table1[Diagnosis],MATCH(I270,'codeand diagnosis'!$A$2:$A$11,0))</f>
        <v>Dental examination</v>
      </c>
      <c r="I270" t="s">
        <v>45</v>
      </c>
      <c r="J270" t="str">
        <f>INDEX(Table1[ICD-10 Code],MATCH(Table2[[#This Row],[Treatment]],Table1[Treatment Type],0))</f>
        <v>Z01.2</v>
      </c>
      <c r="K270" t="s">
        <v>28</v>
      </c>
      <c r="L270" t="s">
        <v>28</v>
      </c>
      <c r="M270" t="s">
        <v>29</v>
      </c>
      <c r="N270">
        <f>Table2[[#This Row],[Total Paid]]+Table2[[#This Row],[Due]]</f>
        <v>120</v>
      </c>
      <c r="O270">
        <v>0</v>
      </c>
      <c r="P270">
        <v>0</v>
      </c>
      <c r="Q270">
        <v>200</v>
      </c>
      <c r="R270">
        <v>0</v>
      </c>
      <c r="S270">
        <v>80</v>
      </c>
      <c r="T270">
        <v>120</v>
      </c>
      <c r="U270">
        <v>0</v>
      </c>
      <c r="V270">
        <v>120</v>
      </c>
      <c r="W270" t="s">
        <v>30</v>
      </c>
      <c r="X270" s="6" t="s">
        <v>473</v>
      </c>
    </row>
    <row r="271" spans="1:24" hidden="1" x14ac:dyDescent="0.25">
      <c r="A271" t="s">
        <v>513</v>
      </c>
      <c r="B271" t="s">
        <v>151</v>
      </c>
      <c r="C271" t="s">
        <v>24</v>
      </c>
      <c r="D271">
        <v>28</v>
      </c>
      <c r="E271" t="s">
        <v>514</v>
      </c>
      <c r="F271" t="s">
        <v>50</v>
      </c>
      <c r="G271" t="s">
        <v>26</v>
      </c>
      <c r="H271" t="str">
        <f>INDEX(Table1[Diagnosis],MATCH(I271,'codeand diagnosis'!$A$2:$A$11,0))</f>
        <v>Dental examination with radiology</v>
      </c>
      <c r="I271" t="s">
        <v>37</v>
      </c>
      <c r="J271" t="str">
        <f>INDEX(Table1[ICD-10 Code],MATCH(Table2[[#This Row],[Treatment]],Table1[Treatment Type],0))</f>
        <v>Z01.2</v>
      </c>
      <c r="K271" t="s">
        <v>28</v>
      </c>
      <c r="L271" t="s">
        <v>38</v>
      </c>
      <c r="M271" t="s">
        <v>29</v>
      </c>
      <c r="N271">
        <f>Table2[[#This Row],[Total Paid]]+Table2[[#This Row],[Due]]</f>
        <v>350</v>
      </c>
      <c r="O271">
        <v>0</v>
      </c>
      <c r="P271">
        <v>150</v>
      </c>
      <c r="Q271">
        <v>200</v>
      </c>
      <c r="R271">
        <v>0</v>
      </c>
      <c r="S271">
        <v>0</v>
      </c>
      <c r="T271">
        <v>350</v>
      </c>
      <c r="U271">
        <v>0</v>
      </c>
      <c r="V271">
        <v>350</v>
      </c>
      <c r="W271" t="s">
        <v>47</v>
      </c>
      <c r="X271" s="6" t="s">
        <v>473</v>
      </c>
    </row>
    <row r="272" spans="1:24" hidden="1" x14ac:dyDescent="0.25">
      <c r="A272" t="s">
        <v>515</v>
      </c>
      <c r="B272" t="s">
        <v>80</v>
      </c>
      <c r="C272" t="s">
        <v>34</v>
      </c>
      <c r="D272">
        <v>53</v>
      </c>
      <c r="E272" t="s">
        <v>514</v>
      </c>
      <c r="F272" t="s">
        <v>50</v>
      </c>
      <c r="G272" t="s">
        <v>26</v>
      </c>
      <c r="H272" t="str">
        <f>INDEX(Table1[Diagnosis],MATCH(I272,'codeand diagnosis'!$A$2:$A$11,0))</f>
        <v>Dental examination</v>
      </c>
      <c r="I272" t="s">
        <v>45</v>
      </c>
      <c r="J272" t="str">
        <f>INDEX(Table1[ICD-10 Code],MATCH(Table2[[#This Row],[Treatment]],Table1[Treatment Type],0))</f>
        <v>Z01.2</v>
      </c>
      <c r="K272" t="s">
        <v>28</v>
      </c>
      <c r="L272" t="s">
        <v>28</v>
      </c>
      <c r="M272" t="s">
        <v>29</v>
      </c>
      <c r="N272">
        <f>Table2[[#This Row],[Total Paid]]+Table2[[#This Row],[Due]]</f>
        <v>200</v>
      </c>
      <c r="O272">
        <v>0</v>
      </c>
      <c r="P272">
        <v>0</v>
      </c>
      <c r="Q272">
        <v>200</v>
      </c>
      <c r="R272">
        <v>0</v>
      </c>
      <c r="S272">
        <v>0</v>
      </c>
      <c r="T272">
        <v>200</v>
      </c>
      <c r="U272">
        <v>0</v>
      </c>
      <c r="V272">
        <v>200</v>
      </c>
      <c r="W272" t="s">
        <v>42</v>
      </c>
      <c r="X272" s="6" t="s">
        <v>473</v>
      </c>
    </row>
    <row r="273" spans="1:24" hidden="1" x14ac:dyDescent="0.25">
      <c r="A273" t="s">
        <v>516</v>
      </c>
      <c r="B273" t="s">
        <v>128</v>
      </c>
      <c r="C273" t="s">
        <v>24</v>
      </c>
      <c r="D273">
        <v>23</v>
      </c>
      <c r="E273" t="s">
        <v>514</v>
      </c>
      <c r="F273" t="s">
        <v>35</v>
      </c>
      <c r="G273" t="s">
        <v>36</v>
      </c>
      <c r="H273" t="str">
        <f>INDEX(Table1[Diagnosis],MATCH(I273,'codeand diagnosis'!$A$2:$A$11,0))</f>
        <v>Dental examination with radiology</v>
      </c>
      <c r="I273" t="s">
        <v>37</v>
      </c>
      <c r="J273" t="str">
        <f>INDEX(Table1[ICD-10 Code],MATCH(Table2[[#This Row],[Treatment]],Table1[Treatment Type],0))</f>
        <v>Z01.2</v>
      </c>
      <c r="K273" t="s">
        <v>28</v>
      </c>
      <c r="L273" t="s">
        <v>38</v>
      </c>
      <c r="M273" t="s">
        <v>29</v>
      </c>
      <c r="N273">
        <f>Table2[[#This Row],[Total Paid]]+Table2[[#This Row],[Due]]</f>
        <v>350</v>
      </c>
      <c r="O273">
        <v>0</v>
      </c>
      <c r="P273">
        <v>150</v>
      </c>
      <c r="Q273">
        <v>200</v>
      </c>
      <c r="R273">
        <v>0</v>
      </c>
      <c r="S273">
        <v>0</v>
      </c>
      <c r="T273">
        <v>350</v>
      </c>
      <c r="U273">
        <v>0</v>
      </c>
      <c r="V273">
        <v>350</v>
      </c>
      <c r="W273" t="s">
        <v>47</v>
      </c>
      <c r="X273" s="6" t="s">
        <v>473</v>
      </c>
    </row>
    <row r="274" spans="1:24" hidden="1" x14ac:dyDescent="0.25">
      <c r="A274" t="s">
        <v>517</v>
      </c>
      <c r="B274" t="s">
        <v>447</v>
      </c>
      <c r="C274" t="s">
        <v>24</v>
      </c>
      <c r="D274">
        <v>46</v>
      </c>
      <c r="E274" s="1">
        <v>44934</v>
      </c>
      <c r="F274" t="s">
        <v>35</v>
      </c>
      <c r="G274" t="s">
        <v>26</v>
      </c>
      <c r="H274" t="str">
        <f>INDEX(Table1[Diagnosis],MATCH(I274,'codeand diagnosis'!$A$2:$A$11,0))</f>
        <v>Dental examination</v>
      </c>
      <c r="I274" t="s">
        <v>45</v>
      </c>
      <c r="J274" t="str">
        <f>INDEX(Table1[ICD-10 Code],MATCH(Table2[[#This Row],[Treatment]],Table1[Treatment Type],0))</f>
        <v>Z01.2</v>
      </c>
      <c r="K274" t="s">
        <v>28</v>
      </c>
      <c r="L274" t="s">
        <v>28</v>
      </c>
      <c r="M274" t="s">
        <v>29</v>
      </c>
      <c r="N274">
        <f>Table2[[#This Row],[Total Paid]]+Table2[[#This Row],[Due]]</f>
        <v>200</v>
      </c>
      <c r="O274">
        <v>0</v>
      </c>
      <c r="P274">
        <v>0</v>
      </c>
      <c r="Q274">
        <v>200</v>
      </c>
      <c r="R274">
        <v>0</v>
      </c>
      <c r="S274">
        <v>0</v>
      </c>
      <c r="T274">
        <v>200</v>
      </c>
      <c r="U274">
        <v>0</v>
      </c>
      <c r="V274">
        <v>200</v>
      </c>
      <c r="W274" t="s">
        <v>42</v>
      </c>
      <c r="X274" s="6" t="s">
        <v>518</v>
      </c>
    </row>
    <row r="275" spans="1:24" hidden="1" x14ac:dyDescent="0.25">
      <c r="A275" t="s">
        <v>519</v>
      </c>
      <c r="B275" t="s">
        <v>520</v>
      </c>
      <c r="C275" t="s">
        <v>34</v>
      </c>
      <c r="D275">
        <v>11</v>
      </c>
      <c r="E275" s="1">
        <v>44965</v>
      </c>
      <c r="F275" t="s">
        <v>104</v>
      </c>
      <c r="G275" t="s">
        <v>36</v>
      </c>
      <c r="H275" t="str">
        <f>INDEX(Table1[Diagnosis],MATCH(I275,'codeand diagnosis'!$A$2:$A$11,0))</f>
        <v>Dental examination with radiology</v>
      </c>
      <c r="I275" t="s">
        <v>37</v>
      </c>
      <c r="J275" t="str">
        <f>INDEX(Table1[ICD-10 Code],MATCH(Table2[[#This Row],[Treatment]],Table1[Treatment Type],0))</f>
        <v>Z01.2</v>
      </c>
      <c r="K275" t="s">
        <v>28</v>
      </c>
      <c r="L275" t="s">
        <v>38</v>
      </c>
      <c r="M275" t="s">
        <v>29</v>
      </c>
      <c r="N275">
        <f>Table2[[#This Row],[Total Paid]]+Table2[[#This Row],[Due]]</f>
        <v>350</v>
      </c>
      <c r="O275">
        <v>0</v>
      </c>
      <c r="P275">
        <v>150</v>
      </c>
      <c r="Q275">
        <v>200</v>
      </c>
      <c r="R275">
        <v>0</v>
      </c>
      <c r="S275">
        <v>0</v>
      </c>
      <c r="T275">
        <v>350</v>
      </c>
      <c r="U275">
        <v>0</v>
      </c>
      <c r="V275">
        <v>350</v>
      </c>
      <c r="W275" t="s">
        <v>47</v>
      </c>
      <c r="X275" s="6" t="s">
        <v>518</v>
      </c>
    </row>
    <row r="276" spans="1:24" hidden="1" x14ac:dyDescent="0.25">
      <c r="A276" t="s">
        <v>521</v>
      </c>
      <c r="B276" t="s">
        <v>84</v>
      </c>
      <c r="C276" t="s">
        <v>34</v>
      </c>
      <c r="D276">
        <v>43</v>
      </c>
      <c r="E276" s="1">
        <v>45024</v>
      </c>
      <c r="F276" t="s">
        <v>35</v>
      </c>
      <c r="G276" t="s">
        <v>36</v>
      </c>
      <c r="H276" t="str">
        <f>INDEX(Table1[Diagnosis],MATCH(I276,'codeand diagnosis'!$A$2:$A$11,0))</f>
        <v>Dental examination with radiology</v>
      </c>
      <c r="I276" t="s">
        <v>37</v>
      </c>
      <c r="J276" t="str">
        <f>INDEX(Table1[ICD-10 Code],MATCH(Table2[[#This Row],[Treatment]],Table1[Treatment Type],0))</f>
        <v>Z01.2</v>
      </c>
      <c r="K276" t="s">
        <v>28</v>
      </c>
      <c r="L276" t="s">
        <v>38</v>
      </c>
      <c r="M276" t="s">
        <v>29</v>
      </c>
      <c r="N276">
        <f>Table2[[#This Row],[Total Paid]]+Table2[[#This Row],[Due]]</f>
        <v>350</v>
      </c>
      <c r="O276">
        <v>0</v>
      </c>
      <c r="P276">
        <v>150</v>
      </c>
      <c r="Q276">
        <v>200</v>
      </c>
      <c r="R276">
        <v>0</v>
      </c>
      <c r="S276">
        <v>0</v>
      </c>
      <c r="T276">
        <v>350</v>
      </c>
      <c r="U276">
        <v>0</v>
      </c>
      <c r="V276">
        <v>350</v>
      </c>
      <c r="W276" t="s">
        <v>42</v>
      </c>
      <c r="X276" s="6" t="s">
        <v>518</v>
      </c>
    </row>
    <row r="277" spans="1:24" hidden="1" x14ac:dyDescent="0.25">
      <c r="A277" t="s">
        <v>522</v>
      </c>
      <c r="B277" t="s">
        <v>224</v>
      </c>
      <c r="C277" t="s">
        <v>34</v>
      </c>
      <c r="D277">
        <v>33</v>
      </c>
      <c r="E277" s="1">
        <v>45024</v>
      </c>
      <c r="F277" t="s">
        <v>35</v>
      </c>
      <c r="G277" t="s">
        <v>26</v>
      </c>
      <c r="H277" t="str">
        <f>INDEX(Table1[Diagnosis],MATCH(I277,'codeand diagnosis'!$A$2:$A$11,0))</f>
        <v>Dental examination</v>
      </c>
      <c r="I277" t="s">
        <v>45</v>
      </c>
      <c r="J277" t="str">
        <f>INDEX(Table1[ICD-10 Code],MATCH(Table2[[#This Row],[Treatment]],Table1[Treatment Type],0))</f>
        <v>Z01.2</v>
      </c>
      <c r="K277" t="s">
        <v>28</v>
      </c>
      <c r="L277" t="s">
        <v>28</v>
      </c>
      <c r="M277" t="s">
        <v>29</v>
      </c>
      <c r="N277">
        <f>Table2[[#This Row],[Total Paid]]+Table2[[#This Row],[Due]]</f>
        <v>200</v>
      </c>
      <c r="O277">
        <v>0</v>
      </c>
      <c r="P277">
        <v>0</v>
      </c>
      <c r="Q277">
        <v>200</v>
      </c>
      <c r="R277">
        <v>0</v>
      </c>
      <c r="S277">
        <v>0</v>
      </c>
      <c r="T277">
        <v>200</v>
      </c>
      <c r="U277">
        <v>0</v>
      </c>
      <c r="V277">
        <v>200</v>
      </c>
      <c r="W277" t="s">
        <v>47</v>
      </c>
      <c r="X277" s="6" t="s">
        <v>518</v>
      </c>
    </row>
    <row r="278" spans="1:24" hidden="1" x14ac:dyDescent="0.25">
      <c r="A278" t="s">
        <v>523</v>
      </c>
      <c r="B278" t="s">
        <v>431</v>
      </c>
      <c r="C278" t="s">
        <v>34</v>
      </c>
      <c r="D278">
        <v>66</v>
      </c>
      <c r="E278" s="1">
        <v>45024</v>
      </c>
      <c r="F278" t="s">
        <v>132</v>
      </c>
      <c r="G278" t="s">
        <v>26</v>
      </c>
      <c r="H278" t="str">
        <f>INDEX(Table1[Diagnosis],MATCH(I278,'codeand diagnosis'!$A$2:$A$11,0))</f>
        <v>Dental examination</v>
      </c>
      <c r="I278" t="s">
        <v>45</v>
      </c>
      <c r="J278" t="str">
        <f>INDEX(Table1[ICD-10 Code],MATCH(Table2[[#This Row],[Treatment]],Table1[Treatment Type],0))</f>
        <v>Z01.2</v>
      </c>
      <c r="K278" t="s">
        <v>28</v>
      </c>
      <c r="L278" t="s">
        <v>28</v>
      </c>
      <c r="M278" t="s">
        <v>29</v>
      </c>
      <c r="N278">
        <f>Table2[[#This Row],[Total Paid]]+Table2[[#This Row],[Due]]</f>
        <v>200</v>
      </c>
      <c r="O278">
        <v>0</v>
      </c>
      <c r="P278">
        <v>0</v>
      </c>
      <c r="Q278">
        <v>200</v>
      </c>
      <c r="R278">
        <v>0</v>
      </c>
      <c r="S278">
        <v>0</v>
      </c>
      <c r="T278">
        <v>200</v>
      </c>
      <c r="U278">
        <v>0</v>
      </c>
      <c r="V278">
        <v>200</v>
      </c>
      <c r="W278" t="s">
        <v>51</v>
      </c>
      <c r="X278" s="6" t="s">
        <v>518</v>
      </c>
    </row>
    <row r="279" spans="1:24" hidden="1" x14ac:dyDescent="0.25">
      <c r="A279" t="s">
        <v>524</v>
      </c>
      <c r="B279" t="s">
        <v>125</v>
      </c>
      <c r="C279" t="s">
        <v>34</v>
      </c>
      <c r="D279">
        <v>8</v>
      </c>
      <c r="E279" s="1">
        <v>45054</v>
      </c>
      <c r="F279" t="s">
        <v>35</v>
      </c>
      <c r="G279" t="s">
        <v>26</v>
      </c>
      <c r="H279" t="str">
        <f>INDEX(Table1[Diagnosis],MATCH(I279,'codeand diagnosis'!$A$2:$A$11,0))</f>
        <v>Dental examination with radiology</v>
      </c>
      <c r="I279" t="s">
        <v>37</v>
      </c>
      <c r="J279" t="str">
        <f>INDEX(Table1[ICD-10 Code],MATCH(Table2[[#This Row],[Treatment]],Table1[Treatment Type],0))</f>
        <v>Z01.2</v>
      </c>
      <c r="K279" t="s">
        <v>28</v>
      </c>
      <c r="L279" t="s">
        <v>38</v>
      </c>
      <c r="M279" t="s">
        <v>46</v>
      </c>
      <c r="N279">
        <f>Table2[[#This Row],[Total Paid]]+Table2[[#This Row],[Due]]</f>
        <v>350</v>
      </c>
      <c r="O279">
        <v>0</v>
      </c>
      <c r="P279">
        <v>150</v>
      </c>
      <c r="Q279">
        <v>200</v>
      </c>
      <c r="R279">
        <v>0</v>
      </c>
      <c r="S279">
        <v>0</v>
      </c>
      <c r="T279">
        <v>350</v>
      </c>
      <c r="U279">
        <v>0</v>
      </c>
      <c r="V279">
        <v>350</v>
      </c>
      <c r="W279" t="s">
        <v>42</v>
      </c>
      <c r="X279" s="6" t="s">
        <v>518</v>
      </c>
    </row>
    <row r="280" spans="1:24" hidden="1" x14ac:dyDescent="0.25">
      <c r="A280" t="s">
        <v>525</v>
      </c>
      <c r="B280" t="s">
        <v>204</v>
      </c>
      <c r="C280" t="s">
        <v>34</v>
      </c>
      <c r="D280">
        <v>23</v>
      </c>
      <c r="E280" s="1">
        <v>45115</v>
      </c>
      <c r="F280" t="s">
        <v>25</v>
      </c>
      <c r="G280" t="s">
        <v>26</v>
      </c>
      <c r="H280" t="str">
        <f>INDEX(Table1[Diagnosis],MATCH(I280,'codeand diagnosis'!$A$2:$A$11,0))</f>
        <v>Dental examination</v>
      </c>
      <c r="I280" t="s">
        <v>45</v>
      </c>
      <c r="J280" t="str">
        <f>INDEX(Table1[ICD-10 Code],MATCH(Table2[[#This Row],[Treatment]],Table1[Treatment Type],0))</f>
        <v>Z01.2</v>
      </c>
      <c r="K280" t="s">
        <v>28</v>
      </c>
      <c r="L280" t="s">
        <v>28</v>
      </c>
      <c r="M280" t="s">
        <v>29</v>
      </c>
      <c r="N280">
        <f>Table2[[#This Row],[Total Paid]]+Table2[[#This Row],[Due]]</f>
        <v>120</v>
      </c>
      <c r="O280">
        <v>0</v>
      </c>
      <c r="P280">
        <v>0</v>
      </c>
      <c r="Q280">
        <v>200</v>
      </c>
      <c r="R280">
        <v>0</v>
      </c>
      <c r="S280">
        <v>80</v>
      </c>
      <c r="T280">
        <v>120</v>
      </c>
      <c r="U280">
        <v>0</v>
      </c>
      <c r="V280">
        <v>120</v>
      </c>
      <c r="W280" t="s">
        <v>47</v>
      </c>
      <c r="X280" s="6" t="s">
        <v>518</v>
      </c>
    </row>
    <row r="281" spans="1:24" hidden="1" x14ac:dyDescent="0.25">
      <c r="A281" t="s">
        <v>526</v>
      </c>
      <c r="B281" t="s">
        <v>201</v>
      </c>
      <c r="C281" t="s">
        <v>34</v>
      </c>
      <c r="D281">
        <v>73</v>
      </c>
      <c r="E281" s="1">
        <v>45146</v>
      </c>
      <c r="F281" t="s">
        <v>88</v>
      </c>
      <c r="G281" t="s">
        <v>26</v>
      </c>
      <c r="H281" t="str">
        <f>INDEX(Table1[Diagnosis],MATCH(I281,'codeand diagnosis'!$A$2:$A$11,0))</f>
        <v>Dental examination with radiology</v>
      </c>
      <c r="I281" t="s">
        <v>37</v>
      </c>
      <c r="J281" t="str">
        <f>INDEX(Table1[ICD-10 Code],MATCH(Table2[[#This Row],[Treatment]],Table1[Treatment Type],0))</f>
        <v>Z01.2</v>
      </c>
      <c r="K281" t="s">
        <v>28</v>
      </c>
      <c r="L281" t="s">
        <v>38</v>
      </c>
      <c r="M281" t="s">
        <v>29</v>
      </c>
      <c r="N281">
        <f>Table2[[#This Row],[Total Paid]]+Table2[[#This Row],[Due]]</f>
        <v>300</v>
      </c>
      <c r="O281">
        <v>0</v>
      </c>
      <c r="P281">
        <v>150</v>
      </c>
      <c r="Q281">
        <v>200</v>
      </c>
      <c r="R281">
        <v>0</v>
      </c>
      <c r="S281">
        <v>50</v>
      </c>
      <c r="T281">
        <v>300</v>
      </c>
      <c r="U281">
        <v>0</v>
      </c>
      <c r="V281">
        <v>300</v>
      </c>
      <c r="W281" t="s">
        <v>42</v>
      </c>
      <c r="X281" s="6" t="s">
        <v>518</v>
      </c>
    </row>
    <row r="282" spans="1:24" hidden="1" x14ac:dyDescent="0.25">
      <c r="A282" t="s">
        <v>527</v>
      </c>
      <c r="B282" t="s">
        <v>94</v>
      </c>
      <c r="C282" t="s">
        <v>24</v>
      </c>
      <c r="D282">
        <v>59</v>
      </c>
      <c r="E282" s="1">
        <v>45146</v>
      </c>
      <c r="F282" t="s">
        <v>35</v>
      </c>
      <c r="G282" t="s">
        <v>36</v>
      </c>
      <c r="H282" t="str">
        <f>INDEX(Table1[Diagnosis],MATCH(I282,'codeand diagnosis'!$A$2:$A$11,0))</f>
        <v>Dental examination with radiology</v>
      </c>
      <c r="I282" t="s">
        <v>37</v>
      </c>
      <c r="J282" t="str">
        <f>INDEX(Table1[ICD-10 Code],MATCH(Table2[[#This Row],[Treatment]],Table1[Treatment Type],0))</f>
        <v>Z01.2</v>
      </c>
      <c r="K282" t="s">
        <v>28</v>
      </c>
      <c r="L282" t="s">
        <v>38</v>
      </c>
      <c r="M282" t="s">
        <v>29</v>
      </c>
      <c r="N282">
        <f>Table2[[#This Row],[Total Paid]]+Table2[[#This Row],[Due]]</f>
        <v>210</v>
      </c>
      <c r="O282">
        <v>0</v>
      </c>
      <c r="P282">
        <v>150</v>
      </c>
      <c r="Q282">
        <v>200</v>
      </c>
      <c r="R282">
        <v>0</v>
      </c>
      <c r="S282">
        <v>140</v>
      </c>
      <c r="T282">
        <v>210</v>
      </c>
      <c r="U282">
        <v>0</v>
      </c>
      <c r="V282">
        <v>210</v>
      </c>
      <c r="W282" t="s">
        <v>51</v>
      </c>
      <c r="X282" s="6" t="s">
        <v>518</v>
      </c>
    </row>
    <row r="283" spans="1:24" hidden="1" x14ac:dyDescent="0.25">
      <c r="A283" t="s">
        <v>528</v>
      </c>
      <c r="B283" t="s">
        <v>53</v>
      </c>
      <c r="C283" t="s">
        <v>34</v>
      </c>
      <c r="D283">
        <v>53</v>
      </c>
      <c r="E283" s="1">
        <v>45177</v>
      </c>
      <c r="F283" t="s">
        <v>88</v>
      </c>
      <c r="G283" t="s">
        <v>36</v>
      </c>
      <c r="H283" t="str">
        <f>INDEX(Table1[Diagnosis],MATCH(I283,'codeand diagnosis'!$A$2:$A$11,0))</f>
        <v>Dental examination with radiology</v>
      </c>
      <c r="I283" t="s">
        <v>37</v>
      </c>
      <c r="J283" t="str">
        <f>INDEX(Table1[ICD-10 Code],MATCH(Table2[[#This Row],[Treatment]],Table1[Treatment Type],0))</f>
        <v>Z01.2</v>
      </c>
      <c r="K283" t="s">
        <v>28</v>
      </c>
      <c r="L283" t="s">
        <v>38</v>
      </c>
      <c r="M283" t="s">
        <v>29</v>
      </c>
      <c r="N283">
        <f>Table2[[#This Row],[Total Paid]]+Table2[[#This Row],[Due]]</f>
        <v>350</v>
      </c>
      <c r="O283">
        <v>0</v>
      </c>
      <c r="P283">
        <v>150</v>
      </c>
      <c r="Q283">
        <v>200</v>
      </c>
      <c r="R283">
        <v>0</v>
      </c>
      <c r="S283">
        <v>0</v>
      </c>
      <c r="T283">
        <v>350</v>
      </c>
      <c r="U283">
        <v>0</v>
      </c>
      <c r="V283">
        <v>350</v>
      </c>
      <c r="W283" t="s">
        <v>42</v>
      </c>
      <c r="X283" s="6" t="s">
        <v>518</v>
      </c>
    </row>
    <row r="284" spans="1:24" hidden="1" x14ac:dyDescent="0.25">
      <c r="A284" t="s">
        <v>529</v>
      </c>
      <c r="B284" t="s">
        <v>106</v>
      </c>
      <c r="C284" t="s">
        <v>24</v>
      </c>
      <c r="D284">
        <v>63</v>
      </c>
      <c r="E284" s="1">
        <v>45207</v>
      </c>
      <c r="F284" t="s">
        <v>35</v>
      </c>
      <c r="G284" t="s">
        <v>26</v>
      </c>
      <c r="H284" t="str">
        <f>INDEX(Table1[Diagnosis],MATCH(I284,'codeand diagnosis'!$A$2:$A$11,0))</f>
        <v>Malocclusion</v>
      </c>
      <c r="I284" t="s">
        <v>89</v>
      </c>
      <c r="J284" t="str">
        <f>INDEX(Table1[ICD-10 Code],MATCH(Table2[[#This Row],[Treatment]],Table1[Treatment Type],0))</f>
        <v>K07.4</v>
      </c>
      <c r="K284" t="s">
        <v>28</v>
      </c>
      <c r="L284" t="s">
        <v>38</v>
      </c>
      <c r="M284" t="s">
        <v>46</v>
      </c>
      <c r="N284">
        <f>Table2[[#This Row],[Total Paid]]+Table2[[#This Row],[Due]]</f>
        <v>12227</v>
      </c>
      <c r="O284">
        <v>12227</v>
      </c>
      <c r="P284">
        <v>0</v>
      </c>
      <c r="Q284">
        <v>0</v>
      </c>
      <c r="R284">
        <v>1860</v>
      </c>
      <c r="S284">
        <v>0</v>
      </c>
      <c r="T284">
        <v>12227</v>
      </c>
      <c r="U284">
        <v>0</v>
      </c>
      <c r="V284">
        <v>10367</v>
      </c>
      <c r="W284" t="s">
        <v>47</v>
      </c>
      <c r="X284" s="6" t="s">
        <v>518</v>
      </c>
    </row>
    <row r="285" spans="1:24" hidden="1" x14ac:dyDescent="0.25">
      <c r="A285" t="s">
        <v>530</v>
      </c>
      <c r="B285" t="s">
        <v>531</v>
      </c>
      <c r="C285" t="s">
        <v>34</v>
      </c>
      <c r="D285">
        <v>78</v>
      </c>
      <c r="E285" s="1">
        <v>45238</v>
      </c>
      <c r="F285" t="s">
        <v>25</v>
      </c>
      <c r="G285" t="s">
        <v>26</v>
      </c>
      <c r="H285" t="str">
        <f>INDEX(Table1[Diagnosis],MATCH(I285,'codeand diagnosis'!$A$2:$A$11,0))</f>
        <v>Dental examination with radiology</v>
      </c>
      <c r="I285" t="s">
        <v>37</v>
      </c>
      <c r="J285" t="str">
        <f>INDEX(Table1[ICD-10 Code],MATCH(Table2[[#This Row],[Treatment]],Table1[Treatment Type],0))</f>
        <v>Z01.2</v>
      </c>
      <c r="K285" t="s">
        <v>28</v>
      </c>
      <c r="L285" t="s">
        <v>38</v>
      </c>
      <c r="M285" t="s">
        <v>29</v>
      </c>
      <c r="N285">
        <f>Table2[[#This Row],[Total Paid]]+Table2[[#This Row],[Due]]</f>
        <v>210</v>
      </c>
      <c r="O285">
        <v>0</v>
      </c>
      <c r="P285">
        <v>150</v>
      </c>
      <c r="Q285">
        <v>200</v>
      </c>
      <c r="R285">
        <v>0</v>
      </c>
      <c r="S285">
        <v>140</v>
      </c>
      <c r="T285">
        <v>210</v>
      </c>
      <c r="U285">
        <v>0</v>
      </c>
      <c r="V285">
        <v>210</v>
      </c>
      <c r="W285" t="s">
        <v>51</v>
      </c>
      <c r="X285" s="6" t="s">
        <v>518</v>
      </c>
    </row>
    <row r="286" spans="1:24" hidden="1" x14ac:dyDescent="0.25">
      <c r="A286" t="s">
        <v>532</v>
      </c>
      <c r="B286" t="s">
        <v>284</v>
      </c>
      <c r="C286" t="s">
        <v>34</v>
      </c>
      <c r="D286">
        <v>58</v>
      </c>
      <c r="E286" s="1">
        <v>45268</v>
      </c>
      <c r="F286" t="s">
        <v>60</v>
      </c>
      <c r="G286" t="s">
        <v>26</v>
      </c>
      <c r="H286" t="str">
        <f>INDEX(Table1[Diagnosis],MATCH(I286,'codeand diagnosis'!$A$2:$A$11,0))</f>
        <v>Dental examination with radiology</v>
      </c>
      <c r="I286" t="s">
        <v>37</v>
      </c>
      <c r="J286" t="str">
        <f>INDEX(Table1[ICD-10 Code],MATCH(Table2[[#This Row],[Treatment]],Table1[Treatment Type],0))</f>
        <v>Z01.2</v>
      </c>
      <c r="K286" t="s">
        <v>28</v>
      </c>
      <c r="L286" t="s">
        <v>38</v>
      </c>
      <c r="M286" t="s">
        <v>29</v>
      </c>
      <c r="N286">
        <f>Table2[[#This Row],[Total Paid]]+Table2[[#This Row],[Due]]</f>
        <v>350</v>
      </c>
      <c r="O286">
        <v>0</v>
      </c>
      <c r="P286">
        <v>150</v>
      </c>
      <c r="Q286">
        <v>200</v>
      </c>
      <c r="R286">
        <v>0</v>
      </c>
      <c r="S286">
        <v>0</v>
      </c>
      <c r="T286">
        <v>350</v>
      </c>
      <c r="U286">
        <v>0</v>
      </c>
      <c r="V286">
        <v>350</v>
      </c>
      <c r="W286" t="s">
        <v>42</v>
      </c>
      <c r="X286" s="6" t="s">
        <v>518</v>
      </c>
    </row>
    <row r="287" spans="1:24" hidden="1" x14ac:dyDescent="0.25">
      <c r="A287" t="s">
        <v>533</v>
      </c>
      <c r="B287" t="s">
        <v>342</v>
      </c>
      <c r="C287" t="s">
        <v>34</v>
      </c>
      <c r="D287">
        <v>23</v>
      </c>
      <c r="E287" s="1">
        <v>45268</v>
      </c>
      <c r="F287" t="s">
        <v>50</v>
      </c>
      <c r="G287" t="s">
        <v>26</v>
      </c>
      <c r="H287" t="str">
        <f>INDEX(Table1[Diagnosis],MATCH(I287,'codeand diagnosis'!$A$2:$A$11,0))</f>
        <v>Dental examination with radiology</v>
      </c>
      <c r="I287" t="s">
        <v>37</v>
      </c>
      <c r="J287" t="str">
        <f>INDEX(Table1[ICD-10 Code],MATCH(Table2[[#This Row],[Treatment]],Table1[Treatment Type],0))</f>
        <v>Z01.2</v>
      </c>
      <c r="K287" t="s">
        <v>28</v>
      </c>
      <c r="L287" t="s">
        <v>38</v>
      </c>
      <c r="M287" t="s">
        <v>29</v>
      </c>
      <c r="N287">
        <f>Table2[[#This Row],[Total Paid]]+Table2[[#This Row],[Due]]</f>
        <v>210</v>
      </c>
      <c r="O287">
        <v>0</v>
      </c>
      <c r="P287">
        <v>150</v>
      </c>
      <c r="Q287">
        <v>200</v>
      </c>
      <c r="R287">
        <v>0</v>
      </c>
      <c r="S287">
        <v>140</v>
      </c>
      <c r="T287">
        <v>210</v>
      </c>
      <c r="U287">
        <v>0</v>
      </c>
      <c r="V287">
        <v>210</v>
      </c>
      <c r="W287" t="s">
        <v>47</v>
      </c>
      <c r="X287" s="6" t="s">
        <v>518</v>
      </c>
    </row>
    <row r="288" spans="1:24" hidden="1" x14ac:dyDescent="0.25">
      <c r="A288" t="s">
        <v>534</v>
      </c>
      <c r="B288" t="s">
        <v>156</v>
      </c>
      <c r="C288" t="s">
        <v>24</v>
      </c>
      <c r="D288">
        <v>70</v>
      </c>
      <c r="E288" t="s">
        <v>535</v>
      </c>
      <c r="F288" t="s">
        <v>35</v>
      </c>
      <c r="G288" t="s">
        <v>26</v>
      </c>
      <c r="H288" t="str">
        <f>INDEX(Table1[Diagnosis],MATCH(I288,'codeand diagnosis'!$A$2:$A$11,0))</f>
        <v>Cosmetic procedure</v>
      </c>
      <c r="I288" t="s">
        <v>55</v>
      </c>
      <c r="J288" t="str">
        <f>INDEX(Table1[ICD-10 Code],MATCH(Table2[[#This Row],[Treatment]],Table1[Treatment Type],0))</f>
        <v>Z41.1</v>
      </c>
      <c r="K288" t="s">
        <v>28</v>
      </c>
      <c r="L288" t="s">
        <v>28</v>
      </c>
      <c r="M288" t="s">
        <v>46</v>
      </c>
      <c r="N288">
        <f>Table2[[#This Row],[Total Paid]]+Table2[[#This Row],[Due]]</f>
        <v>722.4</v>
      </c>
      <c r="O288">
        <v>1204</v>
      </c>
      <c r="P288">
        <v>0</v>
      </c>
      <c r="Q288">
        <v>0</v>
      </c>
      <c r="R288">
        <v>0</v>
      </c>
      <c r="S288">
        <v>481.6</v>
      </c>
      <c r="T288">
        <v>722.4</v>
      </c>
      <c r="U288">
        <v>0</v>
      </c>
      <c r="V288">
        <v>722.4</v>
      </c>
      <c r="W288" t="s">
        <v>51</v>
      </c>
      <c r="X288" s="6" t="s">
        <v>518</v>
      </c>
    </row>
    <row r="289" spans="1:24" hidden="1" x14ac:dyDescent="0.25">
      <c r="A289" t="s">
        <v>536</v>
      </c>
      <c r="B289" t="s">
        <v>67</v>
      </c>
      <c r="C289" t="s">
        <v>24</v>
      </c>
      <c r="D289">
        <v>60</v>
      </c>
      <c r="E289" t="s">
        <v>535</v>
      </c>
      <c r="F289" t="s">
        <v>25</v>
      </c>
      <c r="G289" t="s">
        <v>26</v>
      </c>
      <c r="H289" t="str">
        <f>INDEX(Table1[Diagnosis],MATCH(I289,'codeand diagnosis'!$A$2:$A$11,0))</f>
        <v>Dental examination with radiology</v>
      </c>
      <c r="I289" t="s">
        <v>37</v>
      </c>
      <c r="J289" t="str">
        <f>INDEX(Table1[ICD-10 Code],MATCH(Table2[[#This Row],[Treatment]],Table1[Treatment Type],0))</f>
        <v>Z01.2</v>
      </c>
      <c r="K289" t="s">
        <v>28</v>
      </c>
      <c r="L289" t="s">
        <v>38</v>
      </c>
      <c r="M289" t="s">
        <v>29</v>
      </c>
      <c r="N289">
        <f>Table2[[#This Row],[Total Paid]]+Table2[[#This Row],[Due]]</f>
        <v>210</v>
      </c>
      <c r="O289">
        <v>0</v>
      </c>
      <c r="P289">
        <v>150</v>
      </c>
      <c r="Q289">
        <v>200</v>
      </c>
      <c r="R289">
        <v>0</v>
      </c>
      <c r="S289">
        <v>140</v>
      </c>
      <c r="T289">
        <v>210</v>
      </c>
      <c r="U289">
        <v>0</v>
      </c>
      <c r="V289">
        <v>210</v>
      </c>
      <c r="W289" t="s">
        <v>42</v>
      </c>
      <c r="X289" s="6" t="s">
        <v>518</v>
      </c>
    </row>
    <row r="290" spans="1:24" hidden="1" x14ac:dyDescent="0.25">
      <c r="A290" t="s">
        <v>537</v>
      </c>
      <c r="B290" t="s">
        <v>65</v>
      </c>
      <c r="C290" t="s">
        <v>24</v>
      </c>
      <c r="D290">
        <v>54</v>
      </c>
      <c r="E290" t="s">
        <v>538</v>
      </c>
      <c r="F290" t="s">
        <v>88</v>
      </c>
      <c r="G290" t="s">
        <v>26</v>
      </c>
      <c r="H290" t="str">
        <f>INDEX(Table1[Diagnosis],MATCH(I290,'codeand diagnosis'!$A$2:$A$11,0))</f>
        <v>Dental examination</v>
      </c>
      <c r="I290" t="s">
        <v>45</v>
      </c>
      <c r="J290" t="str">
        <f>INDEX(Table1[ICD-10 Code],MATCH(Table2[[#This Row],[Treatment]],Table1[Treatment Type],0))</f>
        <v>Z01.2</v>
      </c>
      <c r="K290" t="s">
        <v>28</v>
      </c>
      <c r="L290" t="s">
        <v>28</v>
      </c>
      <c r="M290" t="s">
        <v>29</v>
      </c>
      <c r="N290">
        <f>Table2[[#This Row],[Total Paid]]+Table2[[#This Row],[Due]]</f>
        <v>200</v>
      </c>
      <c r="O290">
        <v>0</v>
      </c>
      <c r="P290">
        <v>0</v>
      </c>
      <c r="Q290">
        <v>200</v>
      </c>
      <c r="R290">
        <v>0</v>
      </c>
      <c r="S290">
        <v>0</v>
      </c>
      <c r="T290">
        <v>200</v>
      </c>
      <c r="U290">
        <v>0</v>
      </c>
      <c r="V290">
        <v>200</v>
      </c>
      <c r="W290" t="s">
        <v>51</v>
      </c>
      <c r="X290" s="6" t="s">
        <v>518</v>
      </c>
    </row>
    <row r="291" spans="1:24" hidden="1" x14ac:dyDescent="0.25">
      <c r="A291" t="s">
        <v>539</v>
      </c>
      <c r="B291" t="s">
        <v>80</v>
      </c>
      <c r="C291" t="s">
        <v>34</v>
      </c>
      <c r="D291">
        <v>24</v>
      </c>
      <c r="E291" t="s">
        <v>540</v>
      </c>
      <c r="F291" t="s">
        <v>50</v>
      </c>
      <c r="G291" t="s">
        <v>36</v>
      </c>
      <c r="H291" t="str">
        <f>INDEX(Table1[Diagnosis],MATCH(I291,'codeand diagnosis'!$A$2:$A$11,0))</f>
        <v>Dental examination</v>
      </c>
      <c r="I291" t="s">
        <v>45</v>
      </c>
      <c r="J291" t="str">
        <f>INDEX(Table1[ICD-10 Code],MATCH(Table2[[#This Row],[Treatment]],Table1[Treatment Type],0))</f>
        <v>Z01.2</v>
      </c>
      <c r="K291" t="s">
        <v>28</v>
      </c>
      <c r="L291" t="s">
        <v>28</v>
      </c>
      <c r="M291" t="s">
        <v>29</v>
      </c>
      <c r="N291">
        <f>Table2[[#This Row],[Total Paid]]+Table2[[#This Row],[Due]]</f>
        <v>200</v>
      </c>
      <c r="O291">
        <v>0</v>
      </c>
      <c r="P291">
        <v>0</v>
      </c>
      <c r="Q291">
        <v>200</v>
      </c>
      <c r="R291">
        <v>0</v>
      </c>
      <c r="S291">
        <v>0</v>
      </c>
      <c r="T291">
        <v>200</v>
      </c>
      <c r="U291">
        <v>0</v>
      </c>
      <c r="V291">
        <v>200</v>
      </c>
      <c r="W291" t="s">
        <v>42</v>
      </c>
      <c r="X291" s="6" t="s">
        <v>518</v>
      </c>
    </row>
    <row r="292" spans="1:24" hidden="1" x14ac:dyDescent="0.25">
      <c r="A292" t="s">
        <v>541</v>
      </c>
      <c r="B292" t="s">
        <v>159</v>
      </c>
      <c r="C292" t="s">
        <v>24</v>
      </c>
      <c r="D292">
        <v>24</v>
      </c>
      <c r="E292" t="s">
        <v>540</v>
      </c>
      <c r="F292" t="s">
        <v>25</v>
      </c>
      <c r="G292" t="s">
        <v>26</v>
      </c>
      <c r="H292" t="str">
        <f>INDEX(Table1[Diagnosis],MATCH(I292,'codeand diagnosis'!$A$2:$A$11,0))</f>
        <v>Dental examination with radiology</v>
      </c>
      <c r="I292" t="s">
        <v>37</v>
      </c>
      <c r="J292" t="str">
        <f>INDEX(Table1[ICD-10 Code],MATCH(Table2[[#This Row],[Treatment]],Table1[Treatment Type],0))</f>
        <v>Z01.2</v>
      </c>
      <c r="K292" t="s">
        <v>28</v>
      </c>
      <c r="L292" t="s">
        <v>38</v>
      </c>
      <c r="M292" t="s">
        <v>29</v>
      </c>
      <c r="N292">
        <f>Table2[[#This Row],[Total Paid]]+Table2[[#This Row],[Due]]</f>
        <v>350</v>
      </c>
      <c r="O292">
        <v>0</v>
      </c>
      <c r="P292">
        <v>150</v>
      </c>
      <c r="Q292">
        <v>200</v>
      </c>
      <c r="R292">
        <v>0</v>
      </c>
      <c r="S292">
        <v>0</v>
      </c>
      <c r="T292">
        <v>350</v>
      </c>
      <c r="U292">
        <v>0</v>
      </c>
      <c r="V292">
        <v>350</v>
      </c>
      <c r="W292" t="s">
        <v>42</v>
      </c>
      <c r="X292" s="6" t="s">
        <v>518</v>
      </c>
    </row>
    <row r="293" spans="1:24" hidden="1" x14ac:dyDescent="0.25">
      <c r="A293" t="s">
        <v>542</v>
      </c>
      <c r="B293" t="s">
        <v>361</v>
      </c>
      <c r="C293" t="s">
        <v>34</v>
      </c>
      <c r="D293">
        <v>63</v>
      </c>
      <c r="E293" t="s">
        <v>543</v>
      </c>
      <c r="F293" t="s">
        <v>104</v>
      </c>
      <c r="G293" t="s">
        <v>26</v>
      </c>
      <c r="H293" t="str">
        <f>INDEX(Table1[Diagnosis],MATCH(I293,'codeand diagnosis'!$A$2:$A$11,0))</f>
        <v>Dental examination</v>
      </c>
      <c r="I293" t="s">
        <v>45</v>
      </c>
      <c r="J293" t="str">
        <f>INDEX(Table1[ICD-10 Code],MATCH(Table2[[#This Row],[Treatment]],Table1[Treatment Type],0))</f>
        <v>Z01.2</v>
      </c>
      <c r="K293" t="s">
        <v>28</v>
      </c>
      <c r="L293" t="s">
        <v>28</v>
      </c>
      <c r="M293" t="s">
        <v>29</v>
      </c>
      <c r="N293">
        <f>Table2[[#This Row],[Total Paid]]+Table2[[#This Row],[Due]]</f>
        <v>200</v>
      </c>
      <c r="O293">
        <v>0</v>
      </c>
      <c r="P293">
        <v>0</v>
      </c>
      <c r="Q293">
        <v>200</v>
      </c>
      <c r="R293">
        <v>0</v>
      </c>
      <c r="S293">
        <v>0</v>
      </c>
      <c r="T293">
        <v>200</v>
      </c>
      <c r="U293">
        <v>0</v>
      </c>
      <c r="V293">
        <v>200</v>
      </c>
      <c r="W293" t="s">
        <v>42</v>
      </c>
      <c r="X293" s="6" t="s">
        <v>518</v>
      </c>
    </row>
    <row r="294" spans="1:24" hidden="1" x14ac:dyDescent="0.25">
      <c r="A294" t="s">
        <v>544</v>
      </c>
      <c r="B294" t="s">
        <v>294</v>
      </c>
      <c r="C294" t="s">
        <v>34</v>
      </c>
      <c r="D294">
        <v>41</v>
      </c>
      <c r="E294" t="s">
        <v>545</v>
      </c>
      <c r="F294" t="s">
        <v>35</v>
      </c>
      <c r="G294" t="s">
        <v>26</v>
      </c>
      <c r="H294" t="str">
        <f>INDEX(Table1[Diagnosis],MATCH(I294,'codeand diagnosis'!$A$2:$A$11,0))</f>
        <v>Dental examination with radiology</v>
      </c>
      <c r="I294" t="s">
        <v>37</v>
      </c>
      <c r="J294" t="str">
        <f>INDEX(Table1[ICD-10 Code],MATCH(Table2[[#This Row],[Treatment]],Table1[Treatment Type],0))</f>
        <v>Z01.2</v>
      </c>
      <c r="K294" t="s">
        <v>28</v>
      </c>
      <c r="L294" t="s">
        <v>38</v>
      </c>
      <c r="M294" t="s">
        <v>29</v>
      </c>
      <c r="N294">
        <f>Table2[[#This Row],[Total Paid]]+Table2[[#This Row],[Due]]</f>
        <v>350</v>
      </c>
      <c r="O294">
        <v>0</v>
      </c>
      <c r="P294">
        <v>150</v>
      </c>
      <c r="Q294">
        <v>200</v>
      </c>
      <c r="R294">
        <v>0</v>
      </c>
      <c r="S294">
        <v>0</v>
      </c>
      <c r="T294">
        <v>350</v>
      </c>
      <c r="U294">
        <v>0</v>
      </c>
      <c r="V294">
        <v>350</v>
      </c>
      <c r="W294" t="s">
        <v>42</v>
      </c>
      <c r="X294" s="6" t="s">
        <v>518</v>
      </c>
    </row>
    <row r="295" spans="1:24" hidden="1" x14ac:dyDescent="0.25">
      <c r="A295" t="s">
        <v>546</v>
      </c>
      <c r="B295" t="s">
        <v>296</v>
      </c>
      <c r="C295" t="s">
        <v>24</v>
      </c>
      <c r="D295">
        <v>70</v>
      </c>
      <c r="E295" t="s">
        <v>545</v>
      </c>
      <c r="F295" t="s">
        <v>50</v>
      </c>
      <c r="G295" t="s">
        <v>36</v>
      </c>
      <c r="H295" t="str">
        <f>INDEX(Table1[Diagnosis],MATCH(I295,'codeand diagnosis'!$A$2:$A$11,0))</f>
        <v>Retained dental root</v>
      </c>
      <c r="I295" t="s">
        <v>145</v>
      </c>
      <c r="J295" t="str">
        <f>INDEX(Table1[ICD-10 Code],MATCH(Table2[[#This Row],[Treatment]],Table1[Treatment Type],0))</f>
        <v>K08.3</v>
      </c>
      <c r="K295" t="s">
        <v>28</v>
      </c>
      <c r="L295" t="s">
        <v>38</v>
      </c>
      <c r="M295" t="s">
        <v>29</v>
      </c>
      <c r="N295">
        <f>Table2[[#This Row],[Total Paid]]+Table2[[#This Row],[Due]]</f>
        <v>2157</v>
      </c>
      <c r="O295">
        <v>2157</v>
      </c>
      <c r="P295">
        <v>0</v>
      </c>
      <c r="Q295">
        <v>0</v>
      </c>
      <c r="R295">
        <v>640</v>
      </c>
      <c r="S295">
        <v>0</v>
      </c>
      <c r="T295">
        <v>2157</v>
      </c>
      <c r="U295">
        <v>0</v>
      </c>
      <c r="V295">
        <v>1517</v>
      </c>
      <c r="W295" t="s">
        <v>47</v>
      </c>
      <c r="X295" s="6" t="s">
        <v>518</v>
      </c>
    </row>
    <row r="296" spans="1:24" hidden="1" x14ac:dyDescent="0.25">
      <c r="A296" t="s">
        <v>547</v>
      </c>
      <c r="B296" t="s">
        <v>296</v>
      </c>
      <c r="C296" t="s">
        <v>24</v>
      </c>
      <c r="D296">
        <v>61</v>
      </c>
      <c r="E296" t="s">
        <v>548</v>
      </c>
      <c r="F296" t="s">
        <v>50</v>
      </c>
      <c r="G296" t="s">
        <v>36</v>
      </c>
      <c r="H296" t="str">
        <f>INDEX(Table1[Diagnosis],MATCH(I296,'codeand diagnosis'!$A$2:$A$11,0))</f>
        <v>Loss of teeth</v>
      </c>
      <c r="I296" t="s">
        <v>68</v>
      </c>
      <c r="J296" t="str">
        <f>INDEX(Table1[ICD-10 Code],MATCH(Table2[[#This Row],[Treatment]],Table1[Treatment Type],0))</f>
        <v>K08.1</v>
      </c>
      <c r="K296" t="s">
        <v>28</v>
      </c>
      <c r="L296" t="s">
        <v>38</v>
      </c>
      <c r="M296" t="s">
        <v>29</v>
      </c>
      <c r="N296">
        <f>Table2[[#This Row],[Total Paid]]+Table2[[#This Row],[Due]]</f>
        <v>759</v>
      </c>
      <c r="O296">
        <v>759</v>
      </c>
      <c r="P296">
        <v>0</v>
      </c>
      <c r="Q296">
        <v>0</v>
      </c>
      <c r="R296">
        <v>0</v>
      </c>
      <c r="S296">
        <v>0</v>
      </c>
      <c r="T296">
        <v>759</v>
      </c>
      <c r="U296">
        <v>0</v>
      </c>
      <c r="V296">
        <v>759</v>
      </c>
      <c r="W296" t="s">
        <v>30</v>
      </c>
      <c r="X296" s="6" t="s">
        <v>518</v>
      </c>
    </row>
    <row r="297" spans="1:24" hidden="1" x14ac:dyDescent="0.25">
      <c r="A297" t="s">
        <v>549</v>
      </c>
      <c r="B297" t="s">
        <v>115</v>
      </c>
      <c r="C297" t="s">
        <v>24</v>
      </c>
      <c r="D297">
        <v>53</v>
      </c>
      <c r="E297" t="s">
        <v>548</v>
      </c>
      <c r="F297" t="s">
        <v>50</v>
      </c>
      <c r="G297" t="s">
        <v>26</v>
      </c>
      <c r="H297" t="str">
        <f>INDEX(Table1[Diagnosis],MATCH(I297,'codeand diagnosis'!$A$2:$A$11,0))</f>
        <v>Dental examination</v>
      </c>
      <c r="I297" t="s">
        <v>45</v>
      </c>
      <c r="J297" t="str">
        <f>INDEX(Table1[ICD-10 Code],MATCH(Table2[[#This Row],[Treatment]],Table1[Treatment Type],0))</f>
        <v>Z01.2</v>
      </c>
      <c r="K297" t="s">
        <v>28</v>
      </c>
      <c r="L297" t="s">
        <v>28</v>
      </c>
      <c r="M297" t="s">
        <v>29</v>
      </c>
      <c r="N297">
        <f>Table2[[#This Row],[Total Paid]]+Table2[[#This Row],[Due]]</f>
        <v>200</v>
      </c>
      <c r="O297">
        <v>0</v>
      </c>
      <c r="P297">
        <v>0</v>
      </c>
      <c r="Q297">
        <v>200</v>
      </c>
      <c r="R297">
        <v>0</v>
      </c>
      <c r="S297">
        <v>0</v>
      </c>
      <c r="T297">
        <v>200</v>
      </c>
      <c r="U297">
        <v>0</v>
      </c>
      <c r="V297">
        <v>200</v>
      </c>
      <c r="W297" t="s">
        <v>42</v>
      </c>
      <c r="X297" s="6" t="s">
        <v>518</v>
      </c>
    </row>
    <row r="298" spans="1:24" hidden="1" x14ac:dyDescent="0.25">
      <c r="A298" t="s">
        <v>550</v>
      </c>
      <c r="B298" t="s">
        <v>148</v>
      </c>
      <c r="C298" t="s">
        <v>24</v>
      </c>
      <c r="D298">
        <v>6</v>
      </c>
      <c r="E298" t="s">
        <v>551</v>
      </c>
      <c r="F298" t="s">
        <v>88</v>
      </c>
      <c r="G298" t="s">
        <v>26</v>
      </c>
      <c r="H298" t="str">
        <f>INDEX(Table1[Diagnosis],MATCH(I298,'codeand diagnosis'!$A$2:$A$11,0))</f>
        <v>Missing teeth</v>
      </c>
      <c r="I298" t="s">
        <v>78</v>
      </c>
      <c r="J298" t="str">
        <f>INDEX(Table1[ICD-10 Code],MATCH(Table2[[#This Row],[Treatment]],Table1[Treatment Type],0))</f>
        <v>K08.1</v>
      </c>
      <c r="K298" t="s">
        <v>28</v>
      </c>
      <c r="L298" t="s">
        <v>28</v>
      </c>
      <c r="M298" t="s">
        <v>29</v>
      </c>
      <c r="N298">
        <f>Table2[[#This Row],[Total Paid]]+Table2[[#This Row],[Due]]</f>
        <v>28849</v>
      </c>
      <c r="O298">
        <v>28849</v>
      </c>
      <c r="P298">
        <v>0</v>
      </c>
      <c r="Q298">
        <v>0</v>
      </c>
      <c r="R298">
        <v>6920</v>
      </c>
      <c r="S298">
        <v>0</v>
      </c>
      <c r="T298">
        <v>19914</v>
      </c>
      <c r="U298">
        <v>8935</v>
      </c>
      <c r="V298">
        <v>12994</v>
      </c>
      <c r="W298" t="s">
        <v>42</v>
      </c>
      <c r="X298" s="6" t="s">
        <v>518</v>
      </c>
    </row>
    <row r="299" spans="1:24" hidden="1" x14ac:dyDescent="0.25">
      <c r="A299" t="s">
        <v>552</v>
      </c>
      <c r="B299" t="s">
        <v>314</v>
      </c>
      <c r="C299" t="s">
        <v>24</v>
      </c>
      <c r="D299">
        <v>51</v>
      </c>
      <c r="E299" t="s">
        <v>551</v>
      </c>
      <c r="F299" t="s">
        <v>88</v>
      </c>
      <c r="G299" t="s">
        <v>26</v>
      </c>
      <c r="H299" t="str">
        <f>INDEX(Table1[Diagnosis],MATCH(I299,'codeand diagnosis'!$A$2:$A$11,0))</f>
        <v>Gingivitis</v>
      </c>
      <c r="I299" t="s">
        <v>27</v>
      </c>
      <c r="J299" t="str">
        <f>INDEX(Table1[ICD-10 Code],MATCH(Table2[[#This Row],[Treatment]],Table1[Treatment Type],0))</f>
        <v>K05.10</v>
      </c>
      <c r="K299" t="s">
        <v>28</v>
      </c>
      <c r="L299" t="s">
        <v>38</v>
      </c>
      <c r="M299" t="s">
        <v>29</v>
      </c>
      <c r="N299">
        <f>Table2[[#This Row],[Total Paid]]+Table2[[#This Row],[Due]]</f>
        <v>462</v>
      </c>
      <c r="O299">
        <v>462</v>
      </c>
      <c r="P299">
        <v>0</v>
      </c>
      <c r="Q299">
        <v>0</v>
      </c>
      <c r="R299">
        <v>0</v>
      </c>
      <c r="S299">
        <v>0</v>
      </c>
      <c r="T299">
        <v>462</v>
      </c>
      <c r="U299">
        <v>0</v>
      </c>
      <c r="V299">
        <v>462</v>
      </c>
      <c r="W299" t="s">
        <v>47</v>
      </c>
      <c r="X299" s="6" t="s">
        <v>518</v>
      </c>
    </row>
    <row r="300" spans="1:24" hidden="1" x14ac:dyDescent="0.25">
      <c r="A300" t="s">
        <v>553</v>
      </c>
      <c r="B300" t="s">
        <v>271</v>
      </c>
      <c r="C300" t="s">
        <v>24</v>
      </c>
      <c r="D300">
        <v>40</v>
      </c>
      <c r="E300" t="s">
        <v>554</v>
      </c>
      <c r="F300" t="s">
        <v>35</v>
      </c>
      <c r="G300" t="s">
        <v>26</v>
      </c>
      <c r="H300" t="str">
        <f>INDEX(Table1[Diagnosis],MATCH(I300,'codeand diagnosis'!$A$2:$A$11,0))</f>
        <v>Dental examination with radiology</v>
      </c>
      <c r="I300" t="s">
        <v>37</v>
      </c>
      <c r="J300" t="str">
        <f>INDEX(Table1[ICD-10 Code],MATCH(Table2[[#This Row],[Treatment]],Table1[Treatment Type],0))</f>
        <v>Z01.2</v>
      </c>
      <c r="K300" t="s">
        <v>28</v>
      </c>
      <c r="L300" t="s">
        <v>38</v>
      </c>
      <c r="M300" t="s">
        <v>29</v>
      </c>
      <c r="N300">
        <f>Table2[[#This Row],[Total Paid]]+Table2[[#This Row],[Due]]</f>
        <v>350</v>
      </c>
      <c r="O300">
        <v>0</v>
      </c>
      <c r="P300">
        <v>150</v>
      </c>
      <c r="Q300">
        <v>200</v>
      </c>
      <c r="R300">
        <v>0</v>
      </c>
      <c r="S300">
        <v>0</v>
      </c>
      <c r="T300">
        <v>350</v>
      </c>
      <c r="U300">
        <v>0</v>
      </c>
      <c r="V300">
        <v>350</v>
      </c>
      <c r="W300" t="s">
        <v>51</v>
      </c>
      <c r="X300" s="6" t="s">
        <v>518</v>
      </c>
    </row>
    <row r="301" spans="1:24" hidden="1" x14ac:dyDescent="0.25">
      <c r="A301" t="s">
        <v>555</v>
      </c>
      <c r="B301" t="s">
        <v>284</v>
      </c>
      <c r="C301" t="s">
        <v>34</v>
      </c>
      <c r="D301">
        <v>31</v>
      </c>
      <c r="E301" t="s">
        <v>556</v>
      </c>
      <c r="F301" t="s">
        <v>50</v>
      </c>
      <c r="G301" t="s">
        <v>26</v>
      </c>
      <c r="H301" t="str">
        <f>INDEX(Table1[Diagnosis],MATCH(I301,'codeand diagnosis'!$A$2:$A$11,0))</f>
        <v>Dental examination with radiology</v>
      </c>
      <c r="I301" t="s">
        <v>37</v>
      </c>
      <c r="J301" t="str">
        <f>INDEX(Table1[ICD-10 Code],MATCH(Table2[[#This Row],[Treatment]],Table1[Treatment Type],0))</f>
        <v>Z01.2</v>
      </c>
      <c r="K301" t="s">
        <v>28</v>
      </c>
      <c r="L301" t="s">
        <v>38</v>
      </c>
      <c r="M301" t="s">
        <v>29</v>
      </c>
      <c r="N301">
        <f>Table2[[#This Row],[Total Paid]]+Table2[[#This Row],[Due]]</f>
        <v>350</v>
      </c>
      <c r="O301">
        <v>0</v>
      </c>
      <c r="P301">
        <v>150</v>
      </c>
      <c r="Q301">
        <v>200</v>
      </c>
      <c r="R301">
        <v>0</v>
      </c>
      <c r="S301">
        <v>0</v>
      </c>
      <c r="T301">
        <v>350</v>
      </c>
      <c r="U301">
        <v>0</v>
      </c>
      <c r="V301">
        <v>350</v>
      </c>
      <c r="W301" t="s">
        <v>42</v>
      </c>
      <c r="X301" s="6" t="s">
        <v>518</v>
      </c>
    </row>
    <row r="302" spans="1:24" hidden="1" x14ac:dyDescent="0.25">
      <c r="A302" t="s">
        <v>557</v>
      </c>
      <c r="B302" t="s">
        <v>148</v>
      </c>
      <c r="C302" t="s">
        <v>24</v>
      </c>
      <c r="D302">
        <v>56</v>
      </c>
      <c r="E302" t="s">
        <v>558</v>
      </c>
      <c r="F302" t="s">
        <v>92</v>
      </c>
      <c r="G302" t="s">
        <v>26</v>
      </c>
      <c r="H302" t="str">
        <f>INDEX(Table1[Diagnosis],MATCH(I302,'codeand diagnosis'!$A$2:$A$11,0))</f>
        <v>Dental examination with radiology</v>
      </c>
      <c r="I302" t="s">
        <v>37</v>
      </c>
      <c r="J302" t="str">
        <f>INDEX(Table1[ICD-10 Code],MATCH(Table2[[#This Row],[Treatment]],Table1[Treatment Type],0))</f>
        <v>Z01.2</v>
      </c>
      <c r="K302" t="s">
        <v>28</v>
      </c>
      <c r="L302" t="s">
        <v>38</v>
      </c>
      <c r="M302" t="s">
        <v>29</v>
      </c>
      <c r="N302">
        <f>Table2[[#This Row],[Total Paid]]+Table2[[#This Row],[Due]]</f>
        <v>350</v>
      </c>
      <c r="O302">
        <v>0</v>
      </c>
      <c r="P302">
        <v>150</v>
      </c>
      <c r="Q302">
        <v>200</v>
      </c>
      <c r="R302">
        <v>0</v>
      </c>
      <c r="S302">
        <v>0</v>
      </c>
      <c r="T302">
        <v>350</v>
      </c>
      <c r="U302">
        <v>0</v>
      </c>
      <c r="V302">
        <v>350</v>
      </c>
      <c r="W302" t="s">
        <v>42</v>
      </c>
      <c r="X302" s="6" t="s">
        <v>518</v>
      </c>
    </row>
    <row r="303" spans="1:24" hidden="1" x14ac:dyDescent="0.25">
      <c r="A303" t="s">
        <v>559</v>
      </c>
      <c r="B303" t="s">
        <v>201</v>
      </c>
      <c r="C303" t="s">
        <v>34</v>
      </c>
      <c r="D303">
        <v>56</v>
      </c>
      <c r="E303" t="s">
        <v>558</v>
      </c>
      <c r="F303" t="s">
        <v>132</v>
      </c>
      <c r="G303" t="s">
        <v>26</v>
      </c>
      <c r="H303" t="str">
        <f>INDEX(Table1[Diagnosis],MATCH(I303,'codeand diagnosis'!$A$2:$A$11,0))</f>
        <v>Dental examination</v>
      </c>
      <c r="I303" t="s">
        <v>45</v>
      </c>
      <c r="J303" t="str">
        <f>INDEX(Table1[ICD-10 Code],MATCH(Table2[[#This Row],[Treatment]],Table1[Treatment Type],0))</f>
        <v>Z01.2</v>
      </c>
      <c r="K303" t="s">
        <v>28</v>
      </c>
      <c r="L303" t="s">
        <v>28</v>
      </c>
      <c r="M303" t="s">
        <v>29</v>
      </c>
      <c r="N303">
        <f>Table2[[#This Row],[Total Paid]]+Table2[[#This Row],[Due]]</f>
        <v>200</v>
      </c>
      <c r="O303">
        <v>0</v>
      </c>
      <c r="P303">
        <v>0</v>
      </c>
      <c r="Q303">
        <v>200</v>
      </c>
      <c r="R303">
        <v>0</v>
      </c>
      <c r="S303">
        <v>0</v>
      </c>
      <c r="T303">
        <v>200</v>
      </c>
      <c r="U303">
        <v>0</v>
      </c>
      <c r="V303">
        <v>200</v>
      </c>
      <c r="W303" t="s">
        <v>30</v>
      </c>
      <c r="X303" s="6" t="s">
        <v>518</v>
      </c>
    </row>
    <row r="304" spans="1:24" hidden="1" x14ac:dyDescent="0.25">
      <c r="A304" t="s">
        <v>560</v>
      </c>
      <c r="B304" t="s">
        <v>100</v>
      </c>
      <c r="C304" t="s">
        <v>34</v>
      </c>
      <c r="D304">
        <v>59</v>
      </c>
      <c r="E304" t="s">
        <v>561</v>
      </c>
      <c r="F304" t="s">
        <v>50</v>
      </c>
      <c r="G304" t="s">
        <v>36</v>
      </c>
      <c r="H304" t="str">
        <f>INDEX(Table1[Diagnosis],MATCH(I304,'codeand diagnosis'!$A$2:$A$11,0))</f>
        <v>Retained dental root</v>
      </c>
      <c r="I304" t="s">
        <v>145</v>
      </c>
      <c r="J304" t="str">
        <f>INDEX(Table1[ICD-10 Code],MATCH(Table2[[#This Row],[Treatment]],Table1[Treatment Type],0))</f>
        <v>K08.3</v>
      </c>
      <c r="K304" t="s">
        <v>28</v>
      </c>
      <c r="L304" t="s">
        <v>28</v>
      </c>
      <c r="M304" t="s">
        <v>29</v>
      </c>
      <c r="N304">
        <f>Table2[[#This Row],[Total Paid]]+Table2[[#This Row],[Due]]</f>
        <v>2391</v>
      </c>
      <c r="O304">
        <v>2391</v>
      </c>
      <c r="P304">
        <v>0</v>
      </c>
      <c r="Q304">
        <v>0</v>
      </c>
      <c r="R304">
        <v>1040</v>
      </c>
      <c r="S304">
        <v>0</v>
      </c>
      <c r="T304">
        <v>2391</v>
      </c>
      <c r="U304">
        <v>0</v>
      </c>
      <c r="V304">
        <v>1351</v>
      </c>
      <c r="W304" t="s">
        <v>47</v>
      </c>
      <c r="X304" s="6" t="s">
        <v>518</v>
      </c>
    </row>
    <row r="305" spans="1:24" x14ac:dyDescent="0.25">
      <c r="A305" t="s">
        <v>562</v>
      </c>
      <c r="B305" t="s">
        <v>75</v>
      </c>
      <c r="C305" t="s">
        <v>24</v>
      </c>
      <c r="D305">
        <v>5</v>
      </c>
      <c r="E305" t="s">
        <v>563</v>
      </c>
      <c r="F305" t="s">
        <v>88</v>
      </c>
      <c r="G305" t="s">
        <v>26</v>
      </c>
      <c r="H305" t="str">
        <f>INDEX(Table1[Diagnosis],MATCH(I305,'codeand diagnosis'!$A$2:$A$11,0))</f>
        <v>Gingivitis</v>
      </c>
      <c r="I305" t="s">
        <v>27</v>
      </c>
      <c r="J305" t="str">
        <f>INDEX(Table1[ICD-10 Code],MATCH(Table2[[#This Row],[Treatment]],Table1[Treatment Type],0))</f>
        <v>K05.10</v>
      </c>
      <c r="K305" t="s">
        <v>28</v>
      </c>
      <c r="L305" t="s">
        <v>28</v>
      </c>
      <c r="M305" t="s">
        <v>46</v>
      </c>
      <c r="N305">
        <f>Table2[[#This Row],[Total Paid]]+Table2[[#This Row],[Due]]</f>
        <v>683</v>
      </c>
      <c r="O305">
        <v>683</v>
      </c>
      <c r="P305">
        <v>0</v>
      </c>
      <c r="Q305">
        <v>0</v>
      </c>
      <c r="R305">
        <v>0</v>
      </c>
      <c r="S305">
        <v>0</v>
      </c>
      <c r="T305">
        <v>683</v>
      </c>
      <c r="U305">
        <v>0</v>
      </c>
      <c r="V305">
        <v>683</v>
      </c>
      <c r="W305" t="s">
        <v>47</v>
      </c>
      <c r="X305" s="6" t="s">
        <v>518</v>
      </c>
    </row>
    <row r="306" spans="1:24" hidden="1" x14ac:dyDescent="0.25">
      <c r="A306" t="s">
        <v>564</v>
      </c>
      <c r="B306" t="s">
        <v>222</v>
      </c>
      <c r="C306" t="s">
        <v>24</v>
      </c>
      <c r="D306">
        <v>56</v>
      </c>
      <c r="E306" t="s">
        <v>565</v>
      </c>
      <c r="F306" t="s">
        <v>35</v>
      </c>
      <c r="G306" t="s">
        <v>26</v>
      </c>
      <c r="H306" t="str">
        <f>INDEX(Table1[Diagnosis],MATCH(I306,'codeand diagnosis'!$A$2:$A$11,0))</f>
        <v>Dental examination with radiology</v>
      </c>
      <c r="I306" t="s">
        <v>37</v>
      </c>
      <c r="J306" t="str">
        <f>INDEX(Table1[ICD-10 Code],MATCH(Table2[[#This Row],[Treatment]],Table1[Treatment Type],0))</f>
        <v>Z01.2</v>
      </c>
      <c r="K306" t="s">
        <v>28</v>
      </c>
      <c r="L306" t="s">
        <v>38</v>
      </c>
      <c r="M306" t="s">
        <v>29</v>
      </c>
      <c r="N306">
        <f>Table2[[#This Row],[Total Paid]]+Table2[[#This Row],[Due]]</f>
        <v>210</v>
      </c>
      <c r="O306">
        <v>0</v>
      </c>
      <c r="P306">
        <v>150</v>
      </c>
      <c r="Q306">
        <v>200</v>
      </c>
      <c r="R306">
        <v>0</v>
      </c>
      <c r="S306">
        <v>140</v>
      </c>
      <c r="T306">
        <v>210</v>
      </c>
      <c r="U306">
        <v>0</v>
      </c>
      <c r="V306">
        <v>210</v>
      </c>
      <c r="W306" t="s">
        <v>51</v>
      </c>
      <c r="X306" s="6" t="s">
        <v>518</v>
      </c>
    </row>
    <row r="307" spans="1:24" hidden="1" x14ac:dyDescent="0.25">
      <c r="A307" t="s">
        <v>566</v>
      </c>
      <c r="B307" t="s">
        <v>86</v>
      </c>
      <c r="C307" t="s">
        <v>34</v>
      </c>
      <c r="D307">
        <v>35</v>
      </c>
      <c r="E307" t="s">
        <v>565</v>
      </c>
      <c r="F307" t="s">
        <v>168</v>
      </c>
      <c r="G307" t="s">
        <v>36</v>
      </c>
      <c r="H307" t="str">
        <f>INDEX(Table1[Diagnosis],MATCH(I307,'codeand diagnosis'!$A$2:$A$11,0))</f>
        <v>Dental examination</v>
      </c>
      <c r="I307" t="s">
        <v>45</v>
      </c>
      <c r="J307" t="str">
        <f>INDEX(Table1[ICD-10 Code],MATCH(Table2[[#This Row],[Treatment]],Table1[Treatment Type],0))</f>
        <v>Z01.2</v>
      </c>
      <c r="K307" t="s">
        <v>28</v>
      </c>
      <c r="L307" t="s">
        <v>28</v>
      </c>
      <c r="M307" t="s">
        <v>29</v>
      </c>
      <c r="N307">
        <f>Table2[[#This Row],[Total Paid]]+Table2[[#This Row],[Due]]</f>
        <v>200</v>
      </c>
      <c r="O307">
        <v>0</v>
      </c>
      <c r="P307">
        <v>0</v>
      </c>
      <c r="Q307">
        <v>200</v>
      </c>
      <c r="R307">
        <v>0</v>
      </c>
      <c r="S307">
        <v>0</v>
      </c>
      <c r="T307">
        <v>200</v>
      </c>
      <c r="U307">
        <v>0</v>
      </c>
      <c r="V307">
        <v>200</v>
      </c>
      <c r="W307" t="s">
        <v>47</v>
      </c>
      <c r="X307" s="6" t="s">
        <v>518</v>
      </c>
    </row>
    <row r="308" spans="1:24" hidden="1" x14ac:dyDescent="0.25">
      <c r="A308" t="s">
        <v>567</v>
      </c>
      <c r="B308" t="s">
        <v>80</v>
      </c>
      <c r="C308" t="s">
        <v>34</v>
      </c>
      <c r="D308">
        <v>63</v>
      </c>
      <c r="E308" t="s">
        <v>565</v>
      </c>
      <c r="F308" t="s">
        <v>132</v>
      </c>
      <c r="G308" t="s">
        <v>26</v>
      </c>
      <c r="H308" t="str">
        <f>INDEX(Table1[Diagnosis],MATCH(I308,'codeand diagnosis'!$A$2:$A$11,0))</f>
        <v>Dental examination with radiology</v>
      </c>
      <c r="I308" t="s">
        <v>37</v>
      </c>
      <c r="J308" t="str">
        <f>INDEX(Table1[ICD-10 Code],MATCH(Table2[[#This Row],[Treatment]],Table1[Treatment Type],0))</f>
        <v>Z01.2</v>
      </c>
      <c r="K308" t="s">
        <v>28</v>
      </c>
      <c r="L308" t="s">
        <v>38</v>
      </c>
      <c r="M308" t="s">
        <v>46</v>
      </c>
      <c r="N308">
        <f>Table2[[#This Row],[Total Paid]]+Table2[[#This Row],[Due]]</f>
        <v>210</v>
      </c>
      <c r="O308">
        <v>0</v>
      </c>
      <c r="P308">
        <v>150</v>
      </c>
      <c r="Q308">
        <v>200</v>
      </c>
      <c r="R308">
        <v>0</v>
      </c>
      <c r="S308">
        <v>140</v>
      </c>
      <c r="T308">
        <v>210</v>
      </c>
      <c r="U308">
        <v>0</v>
      </c>
      <c r="V308">
        <v>210</v>
      </c>
      <c r="W308" t="s">
        <v>42</v>
      </c>
      <c r="X308" s="6" t="s">
        <v>518</v>
      </c>
    </row>
    <row r="309" spans="1:24" hidden="1" x14ac:dyDescent="0.25">
      <c r="A309" t="s">
        <v>568</v>
      </c>
      <c r="B309" t="s">
        <v>75</v>
      </c>
      <c r="C309" t="s">
        <v>24</v>
      </c>
      <c r="D309">
        <v>64</v>
      </c>
      <c r="E309" s="1">
        <v>45055</v>
      </c>
      <c r="F309" t="s">
        <v>35</v>
      </c>
      <c r="G309" t="s">
        <v>26</v>
      </c>
      <c r="H309" t="str">
        <f>INDEX(Table1[Diagnosis],MATCH(I309,'codeand diagnosis'!$A$2:$A$11,0))</f>
        <v>Pulpitis</v>
      </c>
      <c r="I309" t="s">
        <v>111</v>
      </c>
      <c r="J309" t="str">
        <f>INDEX(Table1[ICD-10 Code],MATCH(Table2[[#This Row],[Treatment]],Table1[Treatment Type],0))</f>
        <v>K04.0</v>
      </c>
      <c r="K309" t="s">
        <v>28</v>
      </c>
      <c r="L309" t="s">
        <v>38</v>
      </c>
      <c r="M309" t="s">
        <v>29</v>
      </c>
      <c r="N309">
        <f>Table2[[#This Row],[Total Paid]]+Table2[[#This Row],[Due]]</f>
        <v>2945</v>
      </c>
      <c r="O309">
        <v>2945</v>
      </c>
      <c r="P309">
        <v>0</v>
      </c>
      <c r="Q309">
        <v>0</v>
      </c>
      <c r="R309">
        <v>0</v>
      </c>
      <c r="S309">
        <v>0</v>
      </c>
      <c r="T309">
        <v>2945</v>
      </c>
      <c r="U309">
        <v>0</v>
      </c>
      <c r="V309">
        <v>2945</v>
      </c>
      <c r="W309" t="s">
        <v>42</v>
      </c>
      <c r="X309" s="6" t="s">
        <v>569</v>
      </c>
    </row>
    <row r="310" spans="1:24" hidden="1" x14ac:dyDescent="0.25">
      <c r="A310" t="s">
        <v>570</v>
      </c>
      <c r="B310" t="s">
        <v>100</v>
      </c>
      <c r="C310" t="s">
        <v>34</v>
      </c>
      <c r="D310">
        <v>34</v>
      </c>
      <c r="E310" s="1">
        <v>45055</v>
      </c>
      <c r="F310" t="s">
        <v>88</v>
      </c>
      <c r="G310" t="s">
        <v>26</v>
      </c>
      <c r="H310" t="str">
        <f>INDEX(Table1[Diagnosis],MATCH(I310,'codeand diagnosis'!$A$2:$A$11,0))</f>
        <v>Dental examination with radiology</v>
      </c>
      <c r="I310" t="s">
        <v>37</v>
      </c>
      <c r="J310" t="str">
        <f>INDEX(Table1[ICD-10 Code],MATCH(Table2[[#This Row],[Treatment]],Table1[Treatment Type],0))</f>
        <v>Z01.2</v>
      </c>
      <c r="K310" t="s">
        <v>28</v>
      </c>
      <c r="L310" t="s">
        <v>38</v>
      </c>
      <c r="M310" t="s">
        <v>29</v>
      </c>
      <c r="N310">
        <f>Table2[[#This Row],[Total Paid]]+Table2[[#This Row],[Due]]</f>
        <v>350</v>
      </c>
      <c r="O310">
        <v>0</v>
      </c>
      <c r="P310">
        <v>150</v>
      </c>
      <c r="Q310">
        <v>200</v>
      </c>
      <c r="R310">
        <v>0</v>
      </c>
      <c r="S310">
        <v>0</v>
      </c>
      <c r="T310">
        <v>350</v>
      </c>
      <c r="U310">
        <v>0</v>
      </c>
      <c r="V310">
        <v>350</v>
      </c>
      <c r="W310" t="s">
        <v>42</v>
      </c>
      <c r="X310" s="6" t="s">
        <v>569</v>
      </c>
    </row>
    <row r="311" spans="1:24" hidden="1" x14ac:dyDescent="0.25">
      <c r="A311" t="s">
        <v>571</v>
      </c>
      <c r="B311" t="s">
        <v>197</v>
      </c>
      <c r="C311" t="s">
        <v>24</v>
      </c>
      <c r="D311">
        <v>74</v>
      </c>
      <c r="E311" s="1">
        <v>45086</v>
      </c>
      <c r="F311" t="s">
        <v>60</v>
      </c>
      <c r="G311" t="s">
        <v>26</v>
      </c>
      <c r="H311" t="str">
        <f>INDEX(Table1[Diagnosis],MATCH(I311,'codeand diagnosis'!$A$2:$A$11,0))</f>
        <v>Gingivitis</v>
      </c>
      <c r="I311" t="s">
        <v>27</v>
      </c>
      <c r="J311" t="str">
        <f>INDEX(Table1[ICD-10 Code],MATCH(Table2[[#This Row],[Treatment]],Table1[Treatment Type],0))</f>
        <v>K05.10</v>
      </c>
      <c r="K311" t="s">
        <v>28</v>
      </c>
      <c r="L311" t="s">
        <v>38</v>
      </c>
      <c r="M311" t="s">
        <v>46</v>
      </c>
      <c r="N311">
        <f>Table2[[#This Row],[Total Paid]]+Table2[[#This Row],[Due]]</f>
        <v>544</v>
      </c>
      <c r="O311">
        <v>544</v>
      </c>
      <c r="P311">
        <v>0</v>
      </c>
      <c r="Q311">
        <v>0</v>
      </c>
      <c r="R311">
        <v>0</v>
      </c>
      <c r="S311">
        <v>0</v>
      </c>
      <c r="T311">
        <v>544</v>
      </c>
      <c r="U311">
        <v>0</v>
      </c>
      <c r="V311">
        <v>544</v>
      </c>
      <c r="W311" t="s">
        <v>42</v>
      </c>
      <c r="X311" s="6" t="s">
        <v>569</v>
      </c>
    </row>
    <row r="312" spans="1:24" hidden="1" x14ac:dyDescent="0.25">
      <c r="A312" t="s">
        <v>572</v>
      </c>
      <c r="B312" t="s">
        <v>204</v>
      </c>
      <c r="C312" t="s">
        <v>34</v>
      </c>
      <c r="D312">
        <v>30</v>
      </c>
      <c r="E312" s="1">
        <v>45147</v>
      </c>
      <c r="F312" t="s">
        <v>50</v>
      </c>
      <c r="G312" t="s">
        <v>26</v>
      </c>
      <c r="H312" t="str">
        <f>INDEX(Table1[Diagnosis],MATCH(I312,'codeand diagnosis'!$A$2:$A$11,0))</f>
        <v>Dental examination with radiology</v>
      </c>
      <c r="I312" t="s">
        <v>37</v>
      </c>
      <c r="J312" t="str">
        <f>INDEX(Table1[ICD-10 Code],MATCH(Table2[[#This Row],[Treatment]],Table1[Treatment Type],0))</f>
        <v>Z01.2</v>
      </c>
      <c r="K312" t="s">
        <v>28</v>
      </c>
      <c r="L312" t="s">
        <v>38</v>
      </c>
      <c r="M312" t="s">
        <v>29</v>
      </c>
      <c r="N312">
        <f>Table2[[#This Row],[Total Paid]]+Table2[[#This Row],[Due]]</f>
        <v>350</v>
      </c>
      <c r="O312">
        <v>0</v>
      </c>
      <c r="P312">
        <v>150</v>
      </c>
      <c r="Q312">
        <v>200</v>
      </c>
      <c r="R312">
        <v>0</v>
      </c>
      <c r="S312">
        <v>0</v>
      </c>
      <c r="T312">
        <v>350</v>
      </c>
      <c r="U312">
        <v>0</v>
      </c>
      <c r="V312">
        <v>350</v>
      </c>
      <c r="W312" t="s">
        <v>47</v>
      </c>
      <c r="X312" s="6" t="s">
        <v>569</v>
      </c>
    </row>
    <row r="313" spans="1:24" hidden="1" x14ac:dyDescent="0.25">
      <c r="A313" t="s">
        <v>573</v>
      </c>
      <c r="B313" t="s">
        <v>531</v>
      </c>
      <c r="C313" t="s">
        <v>34</v>
      </c>
      <c r="D313">
        <v>27</v>
      </c>
      <c r="E313" s="1">
        <v>45147</v>
      </c>
      <c r="F313" t="s">
        <v>25</v>
      </c>
      <c r="G313" t="s">
        <v>26</v>
      </c>
      <c r="H313" t="str">
        <f>INDEX(Table1[Diagnosis],MATCH(I313,'codeand diagnosis'!$A$2:$A$11,0))</f>
        <v>Cosmetic procedure</v>
      </c>
      <c r="I313" t="s">
        <v>55</v>
      </c>
      <c r="J313" t="str">
        <f>INDEX(Table1[ICD-10 Code],MATCH(Table2[[#This Row],[Treatment]],Table1[Treatment Type],0))</f>
        <v>Z41.1</v>
      </c>
      <c r="K313" t="s">
        <v>28</v>
      </c>
      <c r="L313" t="s">
        <v>38</v>
      </c>
      <c r="M313" t="s">
        <v>46</v>
      </c>
      <c r="N313">
        <f>Table2[[#This Row],[Total Paid]]+Table2[[#This Row],[Due]]</f>
        <v>1292</v>
      </c>
      <c r="O313">
        <v>1792</v>
      </c>
      <c r="P313">
        <v>0</v>
      </c>
      <c r="Q313">
        <v>0</v>
      </c>
      <c r="R313">
        <v>0</v>
      </c>
      <c r="S313">
        <v>500</v>
      </c>
      <c r="T313">
        <v>1292</v>
      </c>
      <c r="U313">
        <v>0</v>
      </c>
      <c r="V313">
        <v>1292</v>
      </c>
      <c r="W313" t="s">
        <v>30</v>
      </c>
      <c r="X313" s="6" t="s">
        <v>569</v>
      </c>
    </row>
    <row r="314" spans="1:24" hidden="1" x14ac:dyDescent="0.25">
      <c r="A314" t="s">
        <v>574</v>
      </c>
      <c r="B314" t="s">
        <v>70</v>
      </c>
      <c r="C314" t="s">
        <v>24</v>
      </c>
      <c r="D314">
        <v>70</v>
      </c>
      <c r="E314" s="1">
        <v>45147</v>
      </c>
      <c r="F314" t="s">
        <v>50</v>
      </c>
      <c r="G314" t="s">
        <v>26</v>
      </c>
      <c r="H314" t="str">
        <f>INDEX(Table1[Diagnosis],MATCH(I314,'codeand diagnosis'!$A$2:$A$11,0))</f>
        <v>Pulpitis</v>
      </c>
      <c r="I314" t="s">
        <v>111</v>
      </c>
      <c r="J314" t="str">
        <f>INDEX(Table1[ICD-10 Code],MATCH(Table2[[#This Row],[Treatment]],Table1[Treatment Type],0))</f>
        <v>K04.0</v>
      </c>
      <c r="K314" t="s">
        <v>28</v>
      </c>
      <c r="L314" t="s">
        <v>28</v>
      </c>
      <c r="M314" t="s">
        <v>29</v>
      </c>
      <c r="N314">
        <f>Table2[[#This Row],[Total Paid]]+Table2[[#This Row],[Due]]</f>
        <v>3043</v>
      </c>
      <c r="O314">
        <v>3043</v>
      </c>
      <c r="P314">
        <v>0</v>
      </c>
      <c r="Q314">
        <v>0</v>
      </c>
      <c r="R314">
        <v>0</v>
      </c>
      <c r="S314">
        <v>0</v>
      </c>
      <c r="T314">
        <v>3043</v>
      </c>
      <c r="U314">
        <v>0</v>
      </c>
      <c r="V314">
        <v>3043</v>
      </c>
      <c r="W314" t="s">
        <v>47</v>
      </c>
      <c r="X314" s="6" t="s">
        <v>569</v>
      </c>
    </row>
    <row r="315" spans="1:24" hidden="1" x14ac:dyDescent="0.25">
      <c r="A315" t="s">
        <v>575</v>
      </c>
      <c r="B315" t="s">
        <v>159</v>
      </c>
      <c r="C315" t="s">
        <v>24</v>
      </c>
      <c r="D315">
        <v>51</v>
      </c>
      <c r="E315" s="1">
        <v>45178</v>
      </c>
      <c r="F315" t="s">
        <v>50</v>
      </c>
      <c r="G315" t="s">
        <v>26</v>
      </c>
      <c r="H315" t="str">
        <f>INDEX(Table1[Diagnosis],MATCH(I315,'codeand diagnosis'!$A$2:$A$11,0))</f>
        <v>Dental examination with radiology</v>
      </c>
      <c r="I315" t="s">
        <v>37</v>
      </c>
      <c r="J315" t="str">
        <f>INDEX(Table1[ICD-10 Code],MATCH(Table2[[#This Row],[Treatment]],Table1[Treatment Type],0))</f>
        <v>Z01.2</v>
      </c>
      <c r="K315" t="s">
        <v>28</v>
      </c>
      <c r="L315" t="s">
        <v>38</v>
      </c>
      <c r="M315" t="s">
        <v>29</v>
      </c>
      <c r="N315">
        <f>Table2[[#This Row],[Total Paid]]+Table2[[#This Row],[Due]]</f>
        <v>350</v>
      </c>
      <c r="O315">
        <v>0</v>
      </c>
      <c r="P315">
        <v>150</v>
      </c>
      <c r="Q315">
        <v>200</v>
      </c>
      <c r="R315">
        <v>0</v>
      </c>
      <c r="S315">
        <v>0</v>
      </c>
      <c r="T315">
        <v>350</v>
      </c>
      <c r="U315">
        <v>0</v>
      </c>
      <c r="V315">
        <v>350</v>
      </c>
      <c r="W315" t="s">
        <v>42</v>
      </c>
      <c r="X315" s="6" t="s">
        <v>569</v>
      </c>
    </row>
    <row r="316" spans="1:24" hidden="1" x14ac:dyDescent="0.25">
      <c r="A316" t="s">
        <v>576</v>
      </c>
      <c r="B316" t="s">
        <v>100</v>
      </c>
      <c r="C316" t="s">
        <v>34</v>
      </c>
      <c r="D316">
        <v>38</v>
      </c>
      <c r="E316" s="1">
        <v>45178</v>
      </c>
      <c r="F316" t="s">
        <v>35</v>
      </c>
      <c r="G316" t="s">
        <v>36</v>
      </c>
      <c r="H316" t="str">
        <f>INDEX(Table1[Diagnosis],MATCH(I316,'codeand diagnosis'!$A$2:$A$11,0))</f>
        <v>Dental examination</v>
      </c>
      <c r="I316" t="s">
        <v>45</v>
      </c>
      <c r="J316" t="str">
        <f>INDEX(Table1[ICD-10 Code],MATCH(Table2[[#This Row],[Treatment]],Table1[Treatment Type],0))</f>
        <v>Z01.2</v>
      </c>
      <c r="K316" t="s">
        <v>28</v>
      </c>
      <c r="L316" t="s">
        <v>28</v>
      </c>
      <c r="M316" t="s">
        <v>29</v>
      </c>
      <c r="N316">
        <f>Table2[[#This Row],[Total Paid]]+Table2[[#This Row],[Due]]</f>
        <v>200</v>
      </c>
      <c r="O316">
        <v>0</v>
      </c>
      <c r="P316">
        <v>0</v>
      </c>
      <c r="Q316">
        <v>200</v>
      </c>
      <c r="R316">
        <v>0</v>
      </c>
      <c r="S316">
        <v>0</v>
      </c>
      <c r="T316">
        <v>200</v>
      </c>
      <c r="U316">
        <v>0</v>
      </c>
      <c r="V316">
        <v>200</v>
      </c>
      <c r="W316" t="s">
        <v>42</v>
      </c>
      <c r="X316" s="6" t="s">
        <v>569</v>
      </c>
    </row>
    <row r="317" spans="1:24" hidden="1" x14ac:dyDescent="0.25">
      <c r="A317" t="s">
        <v>577</v>
      </c>
      <c r="B317" t="s">
        <v>167</v>
      </c>
      <c r="C317" t="s">
        <v>24</v>
      </c>
      <c r="D317">
        <v>56</v>
      </c>
      <c r="E317" s="1">
        <v>45239</v>
      </c>
      <c r="F317" t="s">
        <v>132</v>
      </c>
      <c r="G317" t="s">
        <v>26</v>
      </c>
      <c r="H317" t="str">
        <f>INDEX(Table1[Diagnosis],MATCH(I317,'codeand diagnosis'!$A$2:$A$11,0))</f>
        <v>Dental examination with radiology</v>
      </c>
      <c r="I317" t="s">
        <v>37</v>
      </c>
      <c r="J317" t="str">
        <f>INDEX(Table1[ICD-10 Code],MATCH(Table2[[#This Row],[Treatment]],Table1[Treatment Type],0))</f>
        <v>Z01.2</v>
      </c>
      <c r="K317" t="s">
        <v>28</v>
      </c>
      <c r="L317" t="s">
        <v>38</v>
      </c>
      <c r="M317" t="s">
        <v>29</v>
      </c>
      <c r="N317">
        <f>Table2[[#This Row],[Total Paid]]+Table2[[#This Row],[Due]]</f>
        <v>300</v>
      </c>
      <c r="O317">
        <v>0</v>
      </c>
      <c r="P317">
        <v>150</v>
      </c>
      <c r="Q317">
        <v>200</v>
      </c>
      <c r="R317">
        <v>0</v>
      </c>
      <c r="S317">
        <v>50</v>
      </c>
      <c r="T317">
        <v>300</v>
      </c>
      <c r="U317">
        <v>0</v>
      </c>
      <c r="V317">
        <v>300</v>
      </c>
      <c r="W317" t="s">
        <v>47</v>
      </c>
      <c r="X317" s="6" t="s">
        <v>569</v>
      </c>
    </row>
    <row r="318" spans="1:24" hidden="1" x14ac:dyDescent="0.25">
      <c r="A318" t="s">
        <v>578</v>
      </c>
      <c r="B318" t="s">
        <v>188</v>
      </c>
      <c r="C318" t="s">
        <v>34</v>
      </c>
      <c r="D318">
        <v>12</v>
      </c>
      <c r="E318" s="1">
        <v>45239</v>
      </c>
      <c r="F318" t="s">
        <v>35</v>
      </c>
      <c r="G318" t="s">
        <v>26</v>
      </c>
      <c r="H318" t="str">
        <f>INDEX(Table1[Diagnosis],MATCH(I318,'codeand diagnosis'!$A$2:$A$11,0))</f>
        <v>Dental examination</v>
      </c>
      <c r="I318" t="s">
        <v>45</v>
      </c>
      <c r="J318" t="str">
        <f>INDEX(Table1[ICD-10 Code],MATCH(Table2[[#This Row],[Treatment]],Table1[Treatment Type],0))</f>
        <v>Z01.2</v>
      </c>
      <c r="K318" t="s">
        <v>28</v>
      </c>
      <c r="L318" t="s">
        <v>28</v>
      </c>
      <c r="M318" t="s">
        <v>46</v>
      </c>
      <c r="N318">
        <f>Table2[[#This Row],[Total Paid]]+Table2[[#This Row],[Due]]</f>
        <v>120</v>
      </c>
      <c r="O318">
        <v>0</v>
      </c>
      <c r="P318">
        <v>0</v>
      </c>
      <c r="Q318">
        <v>200</v>
      </c>
      <c r="R318">
        <v>0</v>
      </c>
      <c r="S318">
        <v>80</v>
      </c>
      <c r="T318">
        <v>120</v>
      </c>
      <c r="U318">
        <v>0</v>
      </c>
      <c r="V318">
        <v>120</v>
      </c>
      <c r="W318" t="s">
        <v>47</v>
      </c>
      <c r="X318" s="6" t="s">
        <v>569</v>
      </c>
    </row>
    <row r="319" spans="1:24" hidden="1" x14ac:dyDescent="0.25">
      <c r="A319" t="s">
        <v>579</v>
      </c>
      <c r="B319" t="s">
        <v>53</v>
      </c>
      <c r="C319" t="s">
        <v>34</v>
      </c>
      <c r="D319">
        <v>23</v>
      </c>
      <c r="E319" s="1">
        <v>45269</v>
      </c>
      <c r="F319" t="s">
        <v>35</v>
      </c>
      <c r="G319" t="s">
        <v>26</v>
      </c>
      <c r="H319" t="str">
        <f>INDEX(Table1[Diagnosis],MATCH(I319,'codeand diagnosis'!$A$2:$A$11,0))</f>
        <v>Dental examination</v>
      </c>
      <c r="I319" t="s">
        <v>45</v>
      </c>
      <c r="J319" t="str">
        <f>INDEX(Table1[ICD-10 Code],MATCH(Table2[[#This Row],[Treatment]],Table1[Treatment Type],0))</f>
        <v>Z01.2</v>
      </c>
      <c r="K319" t="s">
        <v>28</v>
      </c>
      <c r="L319" t="s">
        <v>28</v>
      </c>
      <c r="M319" t="s">
        <v>46</v>
      </c>
      <c r="N319">
        <f>Table2[[#This Row],[Total Paid]]+Table2[[#This Row],[Due]]</f>
        <v>200</v>
      </c>
      <c r="O319">
        <v>0</v>
      </c>
      <c r="P319">
        <v>0</v>
      </c>
      <c r="Q319">
        <v>200</v>
      </c>
      <c r="R319">
        <v>0</v>
      </c>
      <c r="S319">
        <v>0</v>
      </c>
      <c r="T319">
        <v>200</v>
      </c>
      <c r="U319">
        <v>0</v>
      </c>
      <c r="V319">
        <v>200</v>
      </c>
      <c r="W319" t="s">
        <v>42</v>
      </c>
      <c r="X319" s="6" t="s">
        <v>569</v>
      </c>
    </row>
    <row r="320" spans="1:24" hidden="1" x14ac:dyDescent="0.25">
      <c r="A320" t="s">
        <v>580</v>
      </c>
      <c r="B320" t="s">
        <v>80</v>
      </c>
      <c r="C320" t="s">
        <v>34</v>
      </c>
      <c r="D320">
        <v>57</v>
      </c>
      <c r="E320" s="1">
        <v>45269</v>
      </c>
      <c r="F320" t="s">
        <v>35</v>
      </c>
      <c r="G320" t="s">
        <v>26</v>
      </c>
      <c r="H320" t="str">
        <f>INDEX(Table1[Diagnosis],MATCH(I320,'codeand diagnosis'!$A$2:$A$11,0))</f>
        <v>Dental examination</v>
      </c>
      <c r="I320" t="s">
        <v>45</v>
      </c>
      <c r="J320" t="str">
        <f>INDEX(Table1[ICD-10 Code],MATCH(Table2[[#This Row],[Treatment]],Table1[Treatment Type],0))</f>
        <v>Z01.2</v>
      </c>
      <c r="K320" t="s">
        <v>28</v>
      </c>
      <c r="L320" t="s">
        <v>28</v>
      </c>
      <c r="M320" t="s">
        <v>29</v>
      </c>
      <c r="N320">
        <f>Table2[[#This Row],[Total Paid]]+Table2[[#This Row],[Due]]</f>
        <v>200</v>
      </c>
      <c r="O320">
        <v>0</v>
      </c>
      <c r="P320">
        <v>0</v>
      </c>
      <c r="Q320">
        <v>200</v>
      </c>
      <c r="R320">
        <v>0</v>
      </c>
      <c r="S320">
        <v>0</v>
      </c>
      <c r="T320">
        <v>200</v>
      </c>
      <c r="U320">
        <v>0</v>
      </c>
      <c r="V320">
        <v>200</v>
      </c>
      <c r="W320" t="s">
        <v>42</v>
      </c>
      <c r="X320" s="6" t="s">
        <v>569</v>
      </c>
    </row>
    <row r="321" spans="1:24" hidden="1" x14ac:dyDescent="0.25">
      <c r="A321" t="s">
        <v>581</v>
      </c>
      <c r="B321" t="s">
        <v>109</v>
      </c>
      <c r="C321" t="s">
        <v>34</v>
      </c>
      <c r="D321">
        <v>37</v>
      </c>
      <c r="E321" t="s">
        <v>582</v>
      </c>
      <c r="F321" t="s">
        <v>132</v>
      </c>
      <c r="G321" t="s">
        <v>26</v>
      </c>
      <c r="H321" t="str">
        <f>INDEX(Table1[Diagnosis],MATCH(I321,'codeand diagnosis'!$A$2:$A$11,0))</f>
        <v>Dental examination with radiology</v>
      </c>
      <c r="I321" t="s">
        <v>37</v>
      </c>
      <c r="J321" t="str">
        <f>INDEX(Table1[ICD-10 Code],MATCH(Table2[[#This Row],[Treatment]],Table1[Treatment Type],0))</f>
        <v>Z01.2</v>
      </c>
      <c r="K321" t="s">
        <v>28</v>
      </c>
      <c r="L321" t="s">
        <v>38</v>
      </c>
      <c r="M321" t="s">
        <v>29</v>
      </c>
      <c r="N321">
        <f>Table2[[#This Row],[Total Paid]]+Table2[[#This Row],[Due]]</f>
        <v>350</v>
      </c>
      <c r="O321">
        <v>0</v>
      </c>
      <c r="P321">
        <v>150</v>
      </c>
      <c r="Q321">
        <v>200</v>
      </c>
      <c r="R321">
        <v>0</v>
      </c>
      <c r="S321">
        <v>0</v>
      </c>
      <c r="T321">
        <v>350</v>
      </c>
      <c r="U321">
        <v>0</v>
      </c>
      <c r="V321">
        <v>350</v>
      </c>
      <c r="W321" t="s">
        <v>51</v>
      </c>
      <c r="X321" s="6" t="s">
        <v>569</v>
      </c>
    </row>
    <row r="322" spans="1:24" hidden="1" x14ac:dyDescent="0.25">
      <c r="A322" t="s">
        <v>583</v>
      </c>
      <c r="B322" t="s">
        <v>82</v>
      </c>
      <c r="C322" t="s">
        <v>24</v>
      </c>
      <c r="D322">
        <v>74</v>
      </c>
      <c r="E322" t="s">
        <v>584</v>
      </c>
      <c r="F322" t="s">
        <v>35</v>
      </c>
      <c r="G322" t="s">
        <v>36</v>
      </c>
      <c r="H322" t="str">
        <f>INDEX(Table1[Diagnosis],MATCH(I322,'codeand diagnosis'!$A$2:$A$11,0))</f>
        <v>Retained dental root</v>
      </c>
      <c r="I322" t="s">
        <v>145</v>
      </c>
      <c r="J322" t="str">
        <f>INDEX(Table1[ICD-10 Code],MATCH(Table2[[#This Row],[Treatment]],Table1[Treatment Type],0))</f>
        <v>K08.3</v>
      </c>
      <c r="K322" t="s">
        <v>28</v>
      </c>
      <c r="L322" t="s">
        <v>38</v>
      </c>
      <c r="M322" t="s">
        <v>29</v>
      </c>
      <c r="N322">
        <f>Table2[[#This Row],[Total Paid]]+Table2[[#This Row],[Due]]</f>
        <v>2335</v>
      </c>
      <c r="O322">
        <v>2335</v>
      </c>
      <c r="P322">
        <v>0</v>
      </c>
      <c r="Q322">
        <v>0</v>
      </c>
      <c r="R322">
        <v>690</v>
      </c>
      <c r="S322">
        <v>0</v>
      </c>
      <c r="T322">
        <v>2335</v>
      </c>
      <c r="U322">
        <v>0</v>
      </c>
      <c r="V322">
        <v>1645</v>
      </c>
      <c r="W322" t="s">
        <v>42</v>
      </c>
      <c r="X322" s="6" t="s">
        <v>569</v>
      </c>
    </row>
    <row r="323" spans="1:24" hidden="1" x14ac:dyDescent="0.25">
      <c r="A323" t="s">
        <v>585</v>
      </c>
      <c r="B323" t="s">
        <v>314</v>
      </c>
      <c r="C323" t="s">
        <v>24</v>
      </c>
      <c r="D323">
        <v>76</v>
      </c>
      <c r="E323" t="s">
        <v>584</v>
      </c>
      <c r="F323" t="s">
        <v>50</v>
      </c>
      <c r="G323" t="s">
        <v>26</v>
      </c>
      <c r="H323" t="str">
        <f>INDEX(Table1[Diagnosis],MATCH(I323,'codeand diagnosis'!$A$2:$A$11,0))</f>
        <v>Dental examination with radiology</v>
      </c>
      <c r="I323" t="s">
        <v>37</v>
      </c>
      <c r="J323" t="str">
        <f>INDEX(Table1[ICD-10 Code],MATCH(Table2[[#This Row],[Treatment]],Table1[Treatment Type],0))</f>
        <v>Z01.2</v>
      </c>
      <c r="K323" t="s">
        <v>28</v>
      </c>
      <c r="L323" t="s">
        <v>38</v>
      </c>
      <c r="M323" t="s">
        <v>46</v>
      </c>
      <c r="N323">
        <f>Table2[[#This Row],[Total Paid]]+Table2[[#This Row],[Due]]</f>
        <v>350</v>
      </c>
      <c r="O323">
        <v>0</v>
      </c>
      <c r="P323">
        <v>150</v>
      </c>
      <c r="Q323">
        <v>200</v>
      </c>
      <c r="R323">
        <v>0</v>
      </c>
      <c r="S323">
        <v>0</v>
      </c>
      <c r="T323">
        <v>350</v>
      </c>
      <c r="U323">
        <v>0</v>
      </c>
      <c r="V323">
        <v>350</v>
      </c>
      <c r="W323" t="s">
        <v>51</v>
      </c>
      <c r="X323" s="6" t="s">
        <v>569</v>
      </c>
    </row>
    <row r="324" spans="1:24" hidden="1" x14ac:dyDescent="0.25">
      <c r="A324" t="s">
        <v>586</v>
      </c>
      <c r="B324" t="s">
        <v>67</v>
      </c>
      <c r="C324" t="s">
        <v>24</v>
      </c>
      <c r="D324">
        <v>7</v>
      </c>
      <c r="E324" t="s">
        <v>587</v>
      </c>
      <c r="F324" t="s">
        <v>35</v>
      </c>
      <c r="G324" t="s">
        <v>26</v>
      </c>
      <c r="H324" t="str">
        <f>INDEX(Table1[Diagnosis],MATCH(I324,'codeand diagnosis'!$A$2:$A$11,0))</f>
        <v>Pulpitis</v>
      </c>
      <c r="I324" t="s">
        <v>111</v>
      </c>
      <c r="J324" t="str">
        <f>INDEX(Table1[ICD-10 Code],MATCH(Table2[[#This Row],[Treatment]],Table1[Treatment Type],0))</f>
        <v>K04.0</v>
      </c>
      <c r="K324" t="s">
        <v>28</v>
      </c>
      <c r="L324" t="s">
        <v>38</v>
      </c>
      <c r="M324" t="s">
        <v>29</v>
      </c>
      <c r="N324">
        <f>Table2[[#This Row],[Total Paid]]+Table2[[#This Row],[Due]]</f>
        <v>3760</v>
      </c>
      <c r="O324">
        <v>4060</v>
      </c>
      <c r="P324">
        <v>0</v>
      </c>
      <c r="Q324">
        <v>0</v>
      </c>
      <c r="R324">
        <v>0</v>
      </c>
      <c r="S324">
        <v>300</v>
      </c>
      <c r="T324">
        <v>3760</v>
      </c>
      <c r="U324">
        <v>0</v>
      </c>
      <c r="V324">
        <v>3760</v>
      </c>
      <c r="W324" t="s">
        <v>51</v>
      </c>
      <c r="X324" s="6" t="s">
        <v>569</v>
      </c>
    </row>
    <row r="325" spans="1:24" hidden="1" x14ac:dyDescent="0.25">
      <c r="A325" t="s">
        <v>588</v>
      </c>
      <c r="B325" t="s">
        <v>275</v>
      </c>
      <c r="C325" t="s">
        <v>34</v>
      </c>
      <c r="D325">
        <v>62</v>
      </c>
      <c r="E325" t="s">
        <v>587</v>
      </c>
      <c r="F325" t="s">
        <v>104</v>
      </c>
      <c r="G325" t="s">
        <v>36</v>
      </c>
      <c r="H325" t="str">
        <f>INDEX(Table1[Diagnosis],MATCH(I325,'codeand diagnosis'!$A$2:$A$11,0))</f>
        <v>Dental examination with radiology</v>
      </c>
      <c r="I325" t="s">
        <v>37</v>
      </c>
      <c r="J325" t="str">
        <f>INDEX(Table1[ICD-10 Code],MATCH(Table2[[#This Row],[Treatment]],Table1[Treatment Type],0))</f>
        <v>Z01.2</v>
      </c>
      <c r="K325" t="s">
        <v>28</v>
      </c>
      <c r="L325" t="s">
        <v>38</v>
      </c>
      <c r="M325" t="s">
        <v>29</v>
      </c>
      <c r="N325">
        <f>Table2[[#This Row],[Total Paid]]+Table2[[#This Row],[Due]]</f>
        <v>350</v>
      </c>
      <c r="O325">
        <v>0</v>
      </c>
      <c r="P325">
        <v>150</v>
      </c>
      <c r="Q325">
        <v>200</v>
      </c>
      <c r="R325">
        <v>0</v>
      </c>
      <c r="S325">
        <v>0</v>
      </c>
      <c r="T325">
        <v>350</v>
      </c>
      <c r="U325">
        <v>0</v>
      </c>
      <c r="V325">
        <v>350</v>
      </c>
      <c r="W325" t="s">
        <v>42</v>
      </c>
      <c r="X325" s="6" t="s">
        <v>569</v>
      </c>
    </row>
    <row r="326" spans="1:24" hidden="1" x14ac:dyDescent="0.25">
      <c r="A326" t="s">
        <v>589</v>
      </c>
      <c r="B326" t="s">
        <v>314</v>
      </c>
      <c r="C326" t="s">
        <v>24</v>
      </c>
      <c r="D326">
        <v>42</v>
      </c>
      <c r="E326" t="s">
        <v>590</v>
      </c>
      <c r="F326" t="s">
        <v>50</v>
      </c>
      <c r="G326" t="s">
        <v>26</v>
      </c>
      <c r="H326" t="str">
        <f>INDEX(Table1[Diagnosis],MATCH(I326,'codeand diagnosis'!$A$2:$A$11,0))</f>
        <v>Dental examination with radiology</v>
      </c>
      <c r="I326" t="s">
        <v>37</v>
      </c>
      <c r="J326" t="str">
        <f>INDEX(Table1[ICD-10 Code],MATCH(Table2[[#This Row],[Treatment]],Table1[Treatment Type],0))</f>
        <v>Z01.2</v>
      </c>
      <c r="K326" t="s">
        <v>28</v>
      </c>
      <c r="L326" t="s">
        <v>38</v>
      </c>
      <c r="M326" t="s">
        <v>29</v>
      </c>
      <c r="N326">
        <f>Table2[[#This Row],[Total Paid]]+Table2[[#This Row],[Due]]</f>
        <v>350</v>
      </c>
      <c r="O326">
        <v>0</v>
      </c>
      <c r="P326">
        <v>150</v>
      </c>
      <c r="Q326">
        <v>200</v>
      </c>
      <c r="R326">
        <v>0</v>
      </c>
      <c r="S326">
        <v>0</v>
      </c>
      <c r="T326">
        <v>350</v>
      </c>
      <c r="U326">
        <v>0</v>
      </c>
      <c r="V326">
        <v>350</v>
      </c>
      <c r="W326" t="s">
        <v>47</v>
      </c>
      <c r="X326" s="6" t="s">
        <v>569</v>
      </c>
    </row>
    <row r="327" spans="1:24" hidden="1" x14ac:dyDescent="0.25">
      <c r="A327" t="s">
        <v>591</v>
      </c>
      <c r="B327" t="s">
        <v>86</v>
      </c>
      <c r="C327" t="s">
        <v>34</v>
      </c>
      <c r="D327">
        <v>37</v>
      </c>
      <c r="E327" t="s">
        <v>592</v>
      </c>
      <c r="F327" t="s">
        <v>88</v>
      </c>
      <c r="G327" t="s">
        <v>26</v>
      </c>
      <c r="H327" t="str">
        <f>INDEX(Table1[Diagnosis],MATCH(I327,'codeand diagnosis'!$A$2:$A$11,0))</f>
        <v>Dental examination</v>
      </c>
      <c r="I327" t="s">
        <v>45</v>
      </c>
      <c r="J327" t="str">
        <f>INDEX(Table1[ICD-10 Code],MATCH(Table2[[#This Row],[Treatment]],Table1[Treatment Type],0))</f>
        <v>Z01.2</v>
      </c>
      <c r="K327" t="s">
        <v>28</v>
      </c>
      <c r="L327" t="s">
        <v>28</v>
      </c>
      <c r="M327" t="s">
        <v>29</v>
      </c>
      <c r="N327">
        <f>Table2[[#This Row],[Total Paid]]+Table2[[#This Row],[Due]]</f>
        <v>200</v>
      </c>
      <c r="O327">
        <v>0</v>
      </c>
      <c r="P327">
        <v>0</v>
      </c>
      <c r="Q327">
        <v>200</v>
      </c>
      <c r="R327">
        <v>0</v>
      </c>
      <c r="S327">
        <v>0</v>
      </c>
      <c r="T327">
        <v>200</v>
      </c>
      <c r="U327">
        <v>0</v>
      </c>
      <c r="V327">
        <v>200</v>
      </c>
      <c r="W327" t="s">
        <v>42</v>
      </c>
      <c r="X327" s="6" t="s">
        <v>569</v>
      </c>
    </row>
    <row r="328" spans="1:24" hidden="1" x14ac:dyDescent="0.25">
      <c r="A328" t="s">
        <v>593</v>
      </c>
      <c r="B328" t="s">
        <v>262</v>
      </c>
      <c r="C328" t="s">
        <v>34</v>
      </c>
      <c r="D328">
        <v>45</v>
      </c>
      <c r="E328" t="s">
        <v>592</v>
      </c>
      <c r="F328" t="s">
        <v>50</v>
      </c>
      <c r="G328" t="s">
        <v>26</v>
      </c>
      <c r="H328" t="str">
        <f>INDEX(Table1[Diagnosis],MATCH(I328,'codeand diagnosis'!$A$2:$A$11,0))</f>
        <v>Dental examination with radiology</v>
      </c>
      <c r="I328" t="s">
        <v>37</v>
      </c>
      <c r="J328" t="str">
        <f>INDEX(Table1[ICD-10 Code],MATCH(Table2[[#This Row],[Treatment]],Table1[Treatment Type],0))</f>
        <v>Z01.2</v>
      </c>
      <c r="K328" t="s">
        <v>28</v>
      </c>
      <c r="L328" t="s">
        <v>38</v>
      </c>
      <c r="M328" t="s">
        <v>29</v>
      </c>
      <c r="N328">
        <f>Table2[[#This Row],[Total Paid]]+Table2[[#This Row],[Due]]</f>
        <v>300</v>
      </c>
      <c r="O328">
        <v>0</v>
      </c>
      <c r="P328">
        <v>150</v>
      </c>
      <c r="Q328">
        <v>200</v>
      </c>
      <c r="R328">
        <v>0</v>
      </c>
      <c r="S328">
        <v>50</v>
      </c>
      <c r="T328">
        <v>300</v>
      </c>
      <c r="U328">
        <v>0</v>
      </c>
      <c r="V328">
        <v>300</v>
      </c>
      <c r="W328" t="s">
        <v>51</v>
      </c>
      <c r="X328" s="6" t="s">
        <v>569</v>
      </c>
    </row>
    <row r="329" spans="1:24" hidden="1" x14ac:dyDescent="0.25">
      <c r="A329" t="s">
        <v>594</v>
      </c>
      <c r="B329" t="s">
        <v>211</v>
      </c>
      <c r="C329" t="s">
        <v>34</v>
      </c>
      <c r="D329">
        <v>74</v>
      </c>
      <c r="E329" t="s">
        <v>595</v>
      </c>
      <c r="F329" t="s">
        <v>104</v>
      </c>
      <c r="G329" t="s">
        <v>26</v>
      </c>
      <c r="H329" t="str">
        <f>INDEX(Table1[Diagnosis],MATCH(I329,'codeand diagnosis'!$A$2:$A$11,0))</f>
        <v>Dental examination with radiology</v>
      </c>
      <c r="I329" t="s">
        <v>37</v>
      </c>
      <c r="J329" t="str">
        <f>INDEX(Table1[ICD-10 Code],MATCH(Table2[[#This Row],[Treatment]],Table1[Treatment Type],0))</f>
        <v>Z01.2</v>
      </c>
      <c r="K329" t="s">
        <v>28</v>
      </c>
      <c r="L329" t="s">
        <v>38</v>
      </c>
      <c r="M329" t="s">
        <v>61</v>
      </c>
      <c r="N329">
        <f>Table2[[#This Row],[Total Paid]]+Table2[[#This Row],[Due]]</f>
        <v>350</v>
      </c>
      <c r="O329">
        <v>0</v>
      </c>
      <c r="P329">
        <v>150</v>
      </c>
      <c r="Q329">
        <v>200</v>
      </c>
      <c r="R329">
        <v>0</v>
      </c>
      <c r="S329">
        <v>0</v>
      </c>
      <c r="T329">
        <v>350</v>
      </c>
      <c r="U329">
        <v>0</v>
      </c>
      <c r="V329">
        <v>350</v>
      </c>
      <c r="W329" t="s">
        <v>42</v>
      </c>
      <c r="X329" s="6" t="s">
        <v>569</v>
      </c>
    </row>
    <row r="330" spans="1:24" hidden="1" x14ac:dyDescent="0.25">
      <c r="A330" t="s">
        <v>596</v>
      </c>
      <c r="B330" t="s">
        <v>173</v>
      </c>
      <c r="C330" t="s">
        <v>24</v>
      </c>
      <c r="D330">
        <v>17</v>
      </c>
      <c r="E330" t="s">
        <v>597</v>
      </c>
      <c r="F330" t="s">
        <v>88</v>
      </c>
      <c r="G330" t="s">
        <v>36</v>
      </c>
      <c r="H330" t="str">
        <f>INDEX(Table1[Diagnosis],MATCH(I330,'codeand diagnosis'!$A$2:$A$11,0))</f>
        <v>Dental examination</v>
      </c>
      <c r="I330" t="s">
        <v>45</v>
      </c>
      <c r="J330" t="str">
        <f>INDEX(Table1[ICD-10 Code],MATCH(Table2[[#This Row],[Treatment]],Table1[Treatment Type],0))</f>
        <v>Z01.2</v>
      </c>
      <c r="K330" t="s">
        <v>28</v>
      </c>
      <c r="L330" t="s">
        <v>28</v>
      </c>
      <c r="M330" t="s">
        <v>61</v>
      </c>
      <c r="N330">
        <f>Table2[[#This Row],[Total Paid]]+Table2[[#This Row],[Due]]</f>
        <v>200</v>
      </c>
      <c r="O330">
        <v>0</v>
      </c>
      <c r="P330">
        <v>0</v>
      </c>
      <c r="Q330">
        <v>200</v>
      </c>
      <c r="R330">
        <v>0</v>
      </c>
      <c r="S330">
        <v>0</v>
      </c>
      <c r="T330">
        <v>200</v>
      </c>
      <c r="U330">
        <v>0</v>
      </c>
      <c r="V330">
        <v>200</v>
      </c>
      <c r="W330" t="s">
        <v>51</v>
      </c>
      <c r="X330" s="6" t="s">
        <v>569</v>
      </c>
    </row>
    <row r="331" spans="1:24" hidden="1" x14ac:dyDescent="0.25">
      <c r="A331" t="s">
        <v>598</v>
      </c>
      <c r="B331" t="s">
        <v>304</v>
      </c>
      <c r="C331" t="s">
        <v>34</v>
      </c>
      <c r="D331">
        <v>38</v>
      </c>
      <c r="E331" t="s">
        <v>597</v>
      </c>
      <c r="F331" t="s">
        <v>25</v>
      </c>
      <c r="G331" t="s">
        <v>26</v>
      </c>
      <c r="H331" t="str">
        <f>INDEX(Table1[Diagnosis],MATCH(I331,'codeand diagnosis'!$A$2:$A$11,0))</f>
        <v>Malocclusion</v>
      </c>
      <c r="I331" t="s">
        <v>89</v>
      </c>
      <c r="J331" t="str">
        <f>INDEX(Table1[ICD-10 Code],MATCH(Table2[[#This Row],[Treatment]],Table1[Treatment Type],0))</f>
        <v>K07.4</v>
      </c>
      <c r="K331" t="s">
        <v>28</v>
      </c>
      <c r="L331" t="s">
        <v>38</v>
      </c>
      <c r="M331" t="s">
        <v>29</v>
      </c>
      <c r="N331">
        <f>Table2[[#This Row],[Total Paid]]+Table2[[#This Row],[Due]]</f>
        <v>18927</v>
      </c>
      <c r="O331">
        <v>18927</v>
      </c>
      <c r="P331">
        <v>0</v>
      </c>
      <c r="Q331">
        <v>0</v>
      </c>
      <c r="R331">
        <v>4890</v>
      </c>
      <c r="S331">
        <v>0</v>
      </c>
      <c r="T331">
        <v>16418</v>
      </c>
      <c r="U331">
        <v>2509</v>
      </c>
      <c r="V331">
        <v>11528</v>
      </c>
      <c r="W331" t="s">
        <v>51</v>
      </c>
      <c r="X331" s="6" t="s">
        <v>569</v>
      </c>
    </row>
    <row r="332" spans="1:24" hidden="1" x14ac:dyDescent="0.25">
      <c r="A332" t="s">
        <v>599</v>
      </c>
      <c r="B332" t="s">
        <v>237</v>
      </c>
      <c r="C332" t="s">
        <v>34</v>
      </c>
      <c r="D332">
        <v>41</v>
      </c>
      <c r="E332" t="s">
        <v>600</v>
      </c>
      <c r="F332" t="s">
        <v>88</v>
      </c>
      <c r="G332" t="s">
        <v>36</v>
      </c>
      <c r="H332" t="str">
        <f>INDEX(Table1[Diagnosis],MATCH(I332,'codeand diagnosis'!$A$2:$A$11,0))</f>
        <v>Dental examination</v>
      </c>
      <c r="I332" t="s">
        <v>45</v>
      </c>
      <c r="J332" t="str">
        <f>INDEX(Table1[ICD-10 Code],MATCH(Table2[[#This Row],[Treatment]],Table1[Treatment Type],0))</f>
        <v>Z01.2</v>
      </c>
      <c r="K332" t="s">
        <v>28</v>
      </c>
      <c r="L332" t="s">
        <v>28</v>
      </c>
      <c r="M332" t="s">
        <v>29</v>
      </c>
      <c r="N332">
        <f>Table2[[#This Row],[Total Paid]]+Table2[[#This Row],[Due]]</f>
        <v>200</v>
      </c>
      <c r="O332">
        <v>0</v>
      </c>
      <c r="P332">
        <v>0</v>
      </c>
      <c r="Q332">
        <v>200</v>
      </c>
      <c r="R332">
        <v>0</v>
      </c>
      <c r="S332">
        <v>0</v>
      </c>
      <c r="T332">
        <v>200</v>
      </c>
      <c r="U332">
        <v>0</v>
      </c>
      <c r="V332">
        <v>200</v>
      </c>
      <c r="W332" t="s">
        <v>30</v>
      </c>
      <c r="X332" s="6" t="s">
        <v>569</v>
      </c>
    </row>
    <row r="333" spans="1:24" hidden="1" x14ac:dyDescent="0.25">
      <c r="A333" t="s">
        <v>601</v>
      </c>
      <c r="B333" t="s">
        <v>237</v>
      </c>
      <c r="C333" t="s">
        <v>34</v>
      </c>
      <c r="D333">
        <v>35</v>
      </c>
      <c r="E333" t="s">
        <v>602</v>
      </c>
      <c r="F333" t="s">
        <v>50</v>
      </c>
      <c r="G333" t="s">
        <v>26</v>
      </c>
      <c r="H333" t="str">
        <f>INDEX(Table1[Diagnosis],MATCH(I333,'codeand diagnosis'!$A$2:$A$11,0))</f>
        <v>Gingivitis</v>
      </c>
      <c r="I333" t="s">
        <v>27</v>
      </c>
      <c r="J333" t="str">
        <f>INDEX(Table1[ICD-10 Code],MATCH(Table2[[#This Row],[Treatment]],Table1[Treatment Type],0))</f>
        <v>K05.10</v>
      </c>
      <c r="K333" t="s">
        <v>28</v>
      </c>
      <c r="L333" t="s">
        <v>28</v>
      </c>
      <c r="M333" t="s">
        <v>29</v>
      </c>
      <c r="N333">
        <f>Table2[[#This Row],[Total Paid]]+Table2[[#This Row],[Due]]</f>
        <v>656</v>
      </c>
      <c r="O333">
        <v>656</v>
      </c>
      <c r="P333">
        <v>0</v>
      </c>
      <c r="Q333">
        <v>0</v>
      </c>
      <c r="R333">
        <v>0</v>
      </c>
      <c r="S333">
        <v>0</v>
      </c>
      <c r="T333">
        <v>656</v>
      </c>
      <c r="U333">
        <v>0</v>
      </c>
      <c r="V333">
        <v>656</v>
      </c>
      <c r="W333" t="s">
        <v>51</v>
      </c>
      <c r="X333" s="6" t="s">
        <v>569</v>
      </c>
    </row>
    <row r="334" spans="1:24" hidden="1" x14ac:dyDescent="0.25">
      <c r="A334" t="s">
        <v>603</v>
      </c>
      <c r="B334" t="s">
        <v>148</v>
      </c>
      <c r="C334" t="s">
        <v>24</v>
      </c>
      <c r="D334">
        <v>67</v>
      </c>
      <c r="E334" t="s">
        <v>602</v>
      </c>
      <c r="F334" t="s">
        <v>25</v>
      </c>
      <c r="G334" t="s">
        <v>26</v>
      </c>
      <c r="H334" t="str">
        <f>INDEX(Table1[Diagnosis],MATCH(I334,'codeand diagnosis'!$A$2:$A$11,0))</f>
        <v>Dental examination</v>
      </c>
      <c r="I334" t="s">
        <v>45</v>
      </c>
      <c r="J334" t="str">
        <f>INDEX(Table1[ICD-10 Code],MATCH(Table2[[#This Row],[Treatment]],Table1[Treatment Type],0))</f>
        <v>Z01.2</v>
      </c>
      <c r="K334" t="s">
        <v>28</v>
      </c>
      <c r="L334" t="s">
        <v>28</v>
      </c>
      <c r="M334" t="s">
        <v>29</v>
      </c>
      <c r="N334">
        <f>Table2[[#This Row],[Total Paid]]+Table2[[#This Row],[Due]]</f>
        <v>200</v>
      </c>
      <c r="O334">
        <v>0</v>
      </c>
      <c r="P334">
        <v>0</v>
      </c>
      <c r="Q334">
        <v>200</v>
      </c>
      <c r="R334">
        <v>0</v>
      </c>
      <c r="S334">
        <v>0</v>
      </c>
      <c r="T334">
        <v>200</v>
      </c>
      <c r="U334">
        <v>0</v>
      </c>
      <c r="V334">
        <v>200</v>
      </c>
      <c r="W334" t="s">
        <v>47</v>
      </c>
      <c r="X334" s="6" t="s">
        <v>569</v>
      </c>
    </row>
    <row r="335" spans="1:24" hidden="1" x14ac:dyDescent="0.25">
      <c r="A335" t="s">
        <v>604</v>
      </c>
      <c r="B335" t="s">
        <v>113</v>
      </c>
      <c r="C335" t="s">
        <v>24</v>
      </c>
      <c r="D335">
        <v>80</v>
      </c>
      <c r="E335" t="s">
        <v>605</v>
      </c>
      <c r="F335" t="s">
        <v>50</v>
      </c>
      <c r="G335" t="s">
        <v>26</v>
      </c>
      <c r="H335" t="str">
        <f>INDEX(Table1[Diagnosis],MATCH(I335,'codeand diagnosis'!$A$2:$A$11,0))</f>
        <v>Cosmetic procedure</v>
      </c>
      <c r="I335" t="s">
        <v>55</v>
      </c>
      <c r="J335" t="str">
        <f>INDEX(Table1[ICD-10 Code],MATCH(Table2[[#This Row],[Treatment]],Table1[Treatment Type],0))</f>
        <v>Z41.1</v>
      </c>
      <c r="K335" t="s">
        <v>28</v>
      </c>
      <c r="L335" t="s">
        <v>38</v>
      </c>
      <c r="M335" t="s">
        <v>61</v>
      </c>
      <c r="N335">
        <f>Table2[[#This Row],[Total Paid]]+Table2[[#This Row],[Due]]</f>
        <v>1616</v>
      </c>
      <c r="O335">
        <v>1616</v>
      </c>
      <c r="P335">
        <v>0</v>
      </c>
      <c r="Q335">
        <v>0</v>
      </c>
      <c r="R335">
        <v>0</v>
      </c>
      <c r="S335">
        <v>0</v>
      </c>
      <c r="T335">
        <v>1616</v>
      </c>
      <c r="U335">
        <v>0</v>
      </c>
      <c r="V335">
        <v>1616</v>
      </c>
      <c r="W335" t="s">
        <v>51</v>
      </c>
      <c r="X335" s="6" t="s">
        <v>569</v>
      </c>
    </row>
    <row r="336" spans="1:24" hidden="1" x14ac:dyDescent="0.25">
      <c r="A336" t="s">
        <v>606</v>
      </c>
      <c r="B336" t="s">
        <v>86</v>
      </c>
      <c r="C336" t="s">
        <v>34</v>
      </c>
      <c r="D336">
        <v>13</v>
      </c>
      <c r="E336" t="s">
        <v>605</v>
      </c>
      <c r="F336" t="s">
        <v>104</v>
      </c>
      <c r="G336" t="s">
        <v>26</v>
      </c>
      <c r="H336" t="str">
        <f>INDEX(Table1[Diagnosis],MATCH(I336,'codeand diagnosis'!$A$2:$A$11,0))</f>
        <v>Dental examination with radiology</v>
      </c>
      <c r="I336" t="s">
        <v>37</v>
      </c>
      <c r="J336" t="str">
        <f>INDEX(Table1[ICD-10 Code],MATCH(Table2[[#This Row],[Treatment]],Table1[Treatment Type],0))</f>
        <v>Z01.2</v>
      </c>
      <c r="K336" t="s">
        <v>28</v>
      </c>
      <c r="L336" t="s">
        <v>38</v>
      </c>
      <c r="M336" t="s">
        <v>29</v>
      </c>
      <c r="N336">
        <f>Table2[[#This Row],[Total Paid]]+Table2[[#This Row],[Due]]</f>
        <v>350</v>
      </c>
      <c r="O336">
        <v>0</v>
      </c>
      <c r="P336">
        <v>150</v>
      </c>
      <c r="Q336">
        <v>200</v>
      </c>
      <c r="R336">
        <v>0</v>
      </c>
      <c r="S336">
        <v>0</v>
      </c>
      <c r="T336">
        <v>350</v>
      </c>
      <c r="U336">
        <v>0</v>
      </c>
      <c r="V336">
        <v>350</v>
      </c>
      <c r="W336" t="s">
        <v>47</v>
      </c>
      <c r="X336" s="6" t="s">
        <v>569</v>
      </c>
    </row>
    <row r="337" spans="1:24" hidden="1" x14ac:dyDescent="0.25">
      <c r="A337" t="s">
        <v>607</v>
      </c>
      <c r="B337" t="s">
        <v>451</v>
      </c>
      <c r="C337" t="s">
        <v>24</v>
      </c>
      <c r="D337">
        <v>12</v>
      </c>
      <c r="E337" t="s">
        <v>608</v>
      </c>
      <c r="F337" t="s">
        <v>35</v>
      </c>
      <c r="G337" t="s">
        <v>36</v>
      </c>
      <c r="H337" t="str">
        <f>INDEX(Table1[Diagnosis],MATCH(I337,'codeand diagnosis'!$A$2:$A$11,0))</f>
        <v>Dental examination with radiology</v>
      </c>
      <c r="I337" t="s">
        <v>37</v>
      </c>
      <c r="J337" t="str">
        <f>INDEX(Table1[ICD-10 Code],MATCH(Table2[[#This Row],[Treatment]],Table1[Treatment Type],0))</f>
        <v>Z01.2</v>
      </c>
      <c r="K337" t="s">
        <v>28</v>
      </c>
      <c r="L337" t="s">
        <v>38</v>
      </c>
      <c r="M337" t="s">
        <v>29</v>
      </c>
      <c r="N337">
        <f>Table2[[#This Row],[Total Paid]]+Table2[[#This Row],[Due]]</f>
        <v>350</v>
      </c>
      <c r="O337">
        <v>0</v>
      </c>
      <c r="P337">
        <v>150</v>
      </c>
      <c r="Q337">
        <v>200</v>
      </c>
      <c r="R337">
        <v>0</v>
      </c>
      <c r="S337">
        <v>0</v>
      </c>
      <c r="T337">
        <v>350</v>
      </c>
      <c r="U337">
        <v>0</v>
      </c>
      <c r="V337">
        <v>350</v>
      </c>
      <c r="W337" t="s">
        <v>51</v>
      </c>
      <c r="X337" s="6" t="s">
        <v>569</v>
      </c>
    </row>
    <row r="338" spans="1:24" hidden="1" x14ac:dyDescent="0.25">
      <c r="A338" t="s">
        <v>609</v>
      </c>
      <c r="B338" t="s">
        <v>428</v>
      </c>
      <c r="C338" t="s">
        <v>24</v>
      </c>
      <c r="D338">
        <v>33</v>
      </c>
      <c r="E338" t="s">
        <v>608</v>
      </c>
      <c r="F338" t="s">
        <v>35</v>
      </c>
      <c r="G338" t="s">
        <v>36</v>
      </c>
      <c r="H338" t="str">
        <f>INDEX(Table1[Diagnosis],MATCH(I338,'codeand diagnosis'!$A$2:$A$11,0))</f>
        <v>Dental examination with radiology</v>
      </c>
      <c r="I338" t="s">
        <v>37</v>
      </c>
      <c r="J338" t="str">
        <f>INDEX(Table1[ICD-10 Code],MATCH(Table2[[#This Row],[Treatment]],Table1[Treatment Type],0))</f>
        <v>Z01.2</v>
      </c>
      <c r="K338" t="s">
        <v>28</v>
      </c>
      <c r="L338" t="s">
        <v>38</v>
      </c>
      <c r="M338" t="s">
        <v>29</v>
      </c>
      <c r="N338">
        <f>Table2[[#This Row],[Total Paid]]+Table2[[#This Row],[Due]]</f>
        <v>210</v>
      </c>
      <c r="O338">
        <v>0</v>
      </c>
      <c r="P338">
        <v>150</v>
      </c>
      <c r="Q338">
        <v>200</v>
      </c>
      <c r="R338">
        <v>0</v>
      </c>
      <c r="S338">
        <v>140</v>
      </c>
      <c r="T338">
        <v>210</v>
      </c>
      <c r="U338">
        <v>0</v>
      </c>
      <c r="V338">
        <v>210</v>
      </c>
      <c r="W338" t="s">
        <v>51</v>
      </c>
      <c r="X338" s="6" t="s">
        <v>569</v>
      </c>
    </row>
    <row r="339" spans="1:24" hidden="1" x14ac:dyDescent="0.25">
      <c r="A339" t="s">
        <v>610</v>
      </c>
      <c r="B339" t="s">
        <v>611</v>
      </c>
      <c r="C339" t="s">
        <v>34</v>
      </c>
      <c r="D339">
        <v>65</v>
      </c>
      <c r="E339" t="s">
        <v>612</v>
      </c>
      <c r="F339" t="s">
        <v>35</v>
      </c>
      <c r="G339" t="s">
        <v>26</v>
      </c>
      <c r="H339" t="str">
        <f>INDEX(Table1[Diagnosis],MATCH(I339,'codeand diagnosis'!$A$2:$A$11,0))</f>
        <v>Dental examination with radiology</v>
      </c>
      <c r="I339" t="s">
        <v>37</v>
      </c>
      <c r="J339" t="str">
        <f>INDEX(Table1[ICD-10 Code],MATCH(Table2[[#This Row],[Treatment]],Table1[Treatment Type],0))</f>
        <v>Z01.2</v>
      </c>
      <c r="K339" t="s">
        <v>28</v>
      </c>
      <c r="L339" t="s">
        <v>38</v>
      </c>
      <c r="M339" t="s">
        <v>29</v>
      </c>
      <c r="N339">
        <f>Table2[[#This Row],[Total Paid]]+Table2[[#This Row],[Due]]</f>
        <v>350</v>
      </c>
      <c r="O339">
        <v>0</v>
      </c>
      <c r="P339">
        <v>150</v>
      </c>
      <c r="Q339">
        <v>200</v>
      </c>
      <c r="R339">
        <v>0</v>
      </c>
      <c r="S339">
        <v>0</v>
      </c>
      <c r="T339">
        <v>350</v>
      </c>
      <c r="U339">
        <v>0</v>
      </c>
      <c r="V339">
        <v>350</v>
      </c>
      <c r="W339" t="s">
        <v>47</v>
      </c>
      <c r="X339" s="6" t="s">
        <v>569</v>
      </c>
    </row>
    <row r="340" spans="1:24" hidden="1" x14ac:dyDescent="0.25">
      <c r="A340" t="s">
        <v>613</v>
      </c>
      <c r="B340" t="s">
        <v>86</v>
      </c>
      <c r="C340" t="s">
        <v>34</v>
      </c>
      <c r="D340">
        <v>16</v>
      </c>
      <c r="E340" t="s">
        <v>612</v>
      </c>
      <c r="F340" t="s">
        <v>50</v>
      </c>
      <c r="G340" t="s">
        <v>36</v>
      </c>
      <c r="H340" t="str">
        <f>INDEX(Table1[Diagnosis],MATCH(I340,'codeand diagnosis'!$A$2:$A$11,0))</f>
        <v>Dental examination</v>
      </c>
      <c r="I340" t="s">
        <v>45</v>
      </c>
      <c r="J340" t="str">
        <f>INDEX(Table1[ICD-10 Code],MATCH(Table2[[#This Row],[Treatment]],Table1[Treatment Type],0))</f>
        <v>Z01.2</v>
      </c>
      <c r="K340" t="s">
        <v>28</v>
      </c>
      <c r="L340" t="s">
        <v>28</v>
      </c>
      <c r="M340" t="s">
        <v>46</v>
      </c>
      <c r="N340">
        <f>Table2[[#This Row],[Total Paid]]+Table2[[#This Row],[Due]]</f>
        <v>200</v>
      </c>
      <c r="O340">
        <v>0</v>
      </c>
      <c r="P340">
        <v>0</v>
      </c>
      <c r="Q340">
        <v>200</v>
      </c>
      <c r="R340">
        <v>0</v>
      </c>
      <c r="S340">
        <v>0</v>
      </c>
      <c r="T340">
        <v>200</v>
      </c>
      <c r="U340">
        <v>0</v>
      </c>
      <c r="V340">
        <v>200</v>
      </c>
      <c r="W340" t="s">
        <v>51</v>
      </c>
      <c r="X340" s="6" t="s">
        <v>569</v>
      </c>
    </row>
    <row r="341" spans="1:24" hidden="1" x14ac:dyDescent="0.25">
      <c r="A341" t="s">
        <v>614</v>
      </c>
      <c r="B341" t="s">
        <v>428</v>
      </c>
      <c r="C341" t="s">
        <v>24</v>
      </c>
      <c r="D341">
        <v>7</v>
      </c>
      <c r="E341" s="1">
        <v>45026</v>
      </c>
      <c r="F341" t="s">
        <v>60</v>
      </c>
      <c r="G341" t="s">
        <v>36</v>
      </c>
      <c r="H341" t="str">
        <f>INDEX(Table1[Diagnosis],MATCH(I341,'codeand diagnosis'!$A$2:$A$11,0))</f>
        <v>Dental examination with radiology</v>
      </c>
      <c r="I341" t="s">
        <v>37</v>
      </c>
      <c r="J341" t="str">
        <f>INDEX(Table1[ICD-10 Code],MATCH(Table2[[#This Row],[Treatment]],Table1[Treatment Type],0))</f>
        <v>Z01.2</v>
      </c>
      <c r="K341" t="s">
        <v>28</v>
      </c>
      <c r="L341" t="s">
        <v>38</v>
      </c>
      <c r="M341" t="s">
        <v>61</v>
      </c>
      <c r="N341">
        <f>Table2[[#This Row],[Total Paid]]+Table2[[#This Row],[Due]]</f>
        <v>210</v>
      </c>
      <c r="O341">
        <v>0</v>
      </c>
      <c r="P341">
        <v>150</v>
      </c>
      <c r="Q341">
        <v>200</v>
      </c>
      <c r="R341">
        <v>0</v>
      </c>
      <c r="S341">
        <v>140</v>
      </c>
      <c r="T341">
        <v>210</v>
      </c>
      <c r="U341">
        <v>0</v>
      </c>
      <c r="V341">
        <v>210</v>
      </c>
      <c r="W341" t="s">
        <v>42</v>
      </c>
      <c r="X341" s="6" t="s">
        <v>615</v>
      </c>
    </row>
    <row r="342" spans="1:24" hidden="1" x14ac:dyDescent="0.25">
      <c r="A342" t="s">
        <v>616</v>
      </c>
      <c r="B342" t="s">
        <v>115</v>
      </c>
      <c r="C342" t="s">
        <v>24</v>
      </c>
      <c r="D342">
        <v>39</v>
      </c>
      <c r="E342" s="1">
        <v>45056</v>
      </c>
      <c r="F342" t="s">
        <v>50</v>
      </c>
      <c r="G342" t="s">
        <v>26</v>
      </c>
      <c r="H342" t="str">
        <f>INDEX(Table1[Diagnosis],MATCH(I342,'codeand diagnosis'!$A$2:$A$11,0))</f>
        <v>Dental examination</v>
      </c>
      <c r="I342" t="s">
        <v>45</v>
      </c>
      <c r="J342" t="str">
        <f>INDEX(Table1[ICD-10 Code],MATCH(Table2[[#This Row],[Treatment]],Table1[Treatment Type],0))</f>
        <v>Z01.2</v>
      </c>
      <c r="K342" t="s">
        <v>28</v>
      </c>
      <c r="L342" t="s">
        <v>28</v>
      </c>
      <c r="M342" t="s">
        <v>29</v>
      </c>
      <c r="N342">
        <f>Table2[[#This Row],[Total Paid]]+Table2[[#This Row],[Due]]</f>
        <v>200</v>
      </c>
      <c r="O342">
        <v>0</v>
      </c>
      <c r="P342">
        <v>0</v>
      </c>
      <c r="Q342">
        <v>200</v>
      </c>
      <c r="R342">
        <v>0</v>
      </c>
      <c r="S342">
        <v>0</v>
      </c>
      <c r="T342">
        <v>200</v>
      </c>
      <c r="U342">
        <v>0</v>
      </c>
      <c r="V342">
        <v>200</v>
      </c>
      <c r="W342" t="s">
        <v>42</v>
      </c>
      <c r="X342" s="6" t="s">
        <v>615</v>
      </c>
    </row>
    <row r="343" spans="1:24" hidden="1" x14ac:dyDescent="0.25">
      <c r="A343" t="s">
        <v>617</v>
      </c>
      <c r="B343" t="s">
        <v>144</v>
      </c>
      <c r="C343" t="s">
        <v>24</v>
      </c>
      <c r="D343">
        <v>21</v>
      </c>
      <c r="E343" s="1">
        <v>45056</v>
      </c>
      <c r="F343" t="s">
        <v>50</v>
      </c>
      <c r="G343" t="s">
        <v>26</v>
      </c>
      <c r="H343" t="str">
        <f>INDEX(Table1[Diagnosis],MATCH(I343,'codeand diagnosis'!$A$2:$A$11,0))</f>
        <v>Dental examination with radiology</v>
      </c>
      <c r="I343" t="s">
        <v>37</v>
      </c>
      <c r="J343" t="str">
        <f>INDEX(Table1[ICD-10 Code],MATCH(Table2[[#This Row],[Treatment]],Table1[Treatment Type],0))</f>
        <v>Z01.2</v>
      </c>
      <c r="K343" t="s">
        <v>28</v>
      </c>
      <c r="L343" t="s">
        <v>38</v>
      </c>
      <c r="M343" t="s">
        <v>29</v>
      </c>
      <c r="N343">
        <f>Table2[[#This Row],[Total Paid]]+Table2[[#This Row],[Due]]</f>
        <v>350</v>
      </c>
      <c r="O343">
        <v>0</v>
      </c>
      <c r="P343">
        <v>150</v>
      </c>
      <c r="Q343">
        <v>200</v>
      </c>
      <c r="R343">
        <v>0</v>
      </c>
      <c r="S343">
        <v>0</v>
      </c>
      <c r="T343">
        <v>350</v>
      </c>
      <c r="U343">
        <v>0</v>
      </c>
      <c r="V343">
        <v>350</v>
      </c>
      <c r="W343" t="s">
        <v>42</v>
      </c>
      <c r="X343" s="6" t="s">
        <v>615</v>
      </c>
    </row>
    <row r="344" spans="1:24" hidden="1" x14ac:dyDescent="0.25">
      <c r="A344" t="s">
        <v>618</v>
      </c>
      <c r="B344" t="s">
        <v>296</v>
      </c>
      <c r="C344" t="s">
        <v>24</v>
      </c>
      <c r="D344">
        <v>55</v>
      </c>
      <c r="E344" s="1">
        <v>45117</v>
      </c>
      <c r="F344" t="s">
        <v>168</v>
      </c>
      <c r="G344" t="s">
        <v>26</v>
      </c>
      <c r="H344" t="str">
        <f>INDEX(Table1[Diagnosis],MATCH(I344,'codeand diagnosis'!$A$2:$A$11,0))</f>
        <v>Malocclusion</v>
      </c>
      <c r="I344" t="s">
        <v>89</v>
      </c>
      <c r="J344" t="str">
        <f>INDEX(Table1[ICD-10 Code],MATCH(Table2[[#This Row],[Treatment]],Table1[Treatment Type],0))</f>
        <v>K07.4</v>
      </c>
      <c r="K344" t="s">
        <v>28</v>
      </c>
      <c r="L344" t="s">
        <v>38</v>
      </c>
      <c r="M344" t="s">
        <v>29</v>
      </c>
      <c r="N344">
        <f>Table2[[#This Row],[Total Paid]]+Table2[[#This Row],[Due]]</f>
        <v>16389</v>
      </c>
      <c r="O344">
        <v>16689</v>
      </c>
      <c r="P344">
        <v>0</v>
      </c>
      <c r="Q344">
        <v>0</v>
      </c>
      <c r="R344">
        <v>4430</v>
      </c>
      <c r="S344">
        <v>300</v>
      </c>
      <c r="T344">
        <v>16389</v>
      </c>
      <c r="U344">
        <v>0</v>
      </c>
      <c r="V344">
        <v>11959</v>
      </c>
      <c r="W344" t="s">
        <v>51</v>
      </c>
      <c r="X344" s="6" t="s">
        <v>615</v>
      </c>
    </row>
    <row r="345" spans="1:24" hidden="1" x14ac:dyDescent="0.25">
      <c r="A345" t="s">
        <v>619</v>
      </c>
      <c r="B345" t="s">
        <v>173</v>
      </c>
      <c r="C345" t="s">
        <v>24</v>
      </c>
      <c r="D345">
        <v>59</v>
      </c>
      <c r="E345" s="1">
        <v>45179</v>
      </c>
      <c r="F345" t="s">
        <v>25</v>
      </c>
      <c r="G345" t="s">
        <v>26</v>
      </c>
      <c r="H345" t="str">
        <f>INDEX(Table1[Diagnosis],MATCH(I345,'codeand diagnosis'!$A$2:$A$11,0))</f>
        <v>Malocclusion</v>
      </c>
      <c r="I345" t="s">
        <v>89</v>
      </c>
      <c r="J345" t="str">
        <f>INDEX(Table1[ICD-10 Code],MATCH(Table2[[#This Row],[Treatment]],Table1[Treatment Type],0))</f>
        <v>K07.4</v>
      </c>
      <c r="K345" t="s">
        <v>28</v>
      </c>
      <c r="L345" t="s">
        <v>38</v>
      </c>
      <c r="M345" t="s">
        <v>29</v>
      </c>
      <c r="N345">
        <f>Table2[[#This Row],[Total Paid]]+Table2[[#This Row],[Due]]</f>
        <v>15644</v>
      </c>
      <c r="O345">
        <v>15644</v>
      </c>
      <c r="P345">
        <v>0</v>
      </c>
      <c r="Q345">
        <v>0</v>
      </c>
      <c r="R345">
        <v>2560</v>
      </c>
      <c r="S345">
        <v>0</v>
      </c>
      <c r="T345">
        <v>15644</v>
      </c>
      <c r="U345">
        <v>0</v>
      </c>
      <c r="V345">
        <v>13084</v>
      </c>
      <c r="W345" t="s">
        <v>51</v>
      </c>
      <c r="X345" s="6" t="s">
        <v>615</v>
      </c>
    </row>
    <row r="346" spans="1:24" hidden="1" x14ac:dyDescent="0.25">
      <c r="A346" t="s">
        <v>620</v>
      </c>
      <c r="B346" t="s">
        <v>201</v>
      </c>
      <c r="C346" t="s">
        <v>34</v>
      </c>
      <c r="D346">
        <v>26</v>
      </c>
      <c r="E346" s="1">
        <v>45179</v>
      </c>
      <c r="F346" t="s">
        <v>50</v>
      </c>
      <c r="G346" t="s">
        <v>26</v>
      </c>
      <c r="H346" t="str">
        <f>INDEX(Table1[Diagnosis],MATCH(I346,'codeand diagnosis'!$A$2:$A$11,0))</f>
        <v>Dental examination</v>
      </c>
      <c r="I346" t="s">
        <v>45</v>
      </c>
      <c r="J346" t="str">
        <f>INDEX(Table1[ICD-10 Code],MATCH(Table2[[#This Row],[Treatment]],Table1[Treatment Type],0))</f>
        <v>Z01.2</v>
      </c>
      <c r="K346" t="s">
        <v>28</v>
      </c>
      <c r="L346" t="s">
        <v>28</v>
      </c>
      <c r="M346" t="s">
        <v>46</v>
      </c>
      <c r="N346">
        <f>Table2[[#This Row],[Total Paid]]+Table2[[#This Row],[Due]]</f>
        <v>200</v>
      </c>
      <c r="O346">
        <v>0</v>
      </c>
      <c r="P346">
        <v>0</v>
      </c>
      <c r="Q346">
        <v>200</v>
      </c>
      <c r="R346">
        <v>0</v>
      </c>
      <c r="S346">
        <v>0</v>
      </c>
      <c r="T346">
        <v>200</v>
      </c>
      <c r="U346">
        <v>0</v>
      </c>
      <c r="V346">
        <v>200</v>
      </c>
      <c r="W346" t="s">
        <v>51</v>
      </c>
      <c r="X346" s="6" t="s">
        <v>615</v>
      </c>
    </row>
    <row r="347" spans="1:24" hidden="1" x14ac:dyDescent="0.25">
      <c r="A347" t="s">
        <v>621</v>
      </c>
      <c r="B347" t="s">
        <v>365</v>
      </c>
      <c r="C347" t="s">
        <v>24</v>
      </c>
      <c r="D347">
        <v>8</v>
      </c>
      <c r="E347" s="1">
        <v>45209</v>
      </c>
      <c r="F347" t="s">
        <v>50</v>
      </c>
      <c r="G347" t="s">
        <v>26</v>
      </c>
      <c r="H347" t="str">
        <f>INDEX(Table1[Diagnosis],MATCH(I347,'codeand diagnosis'!$A$2:$A$11,0))</f>
        <v>Pulpitis</v>
      </c>
      <c r="I347" t="s">
        <v>111</v>
      </c>
      <c r="J347" t="str">
        <f>INDEX(Table1[ICD-10 Code],MATCH(Table2[[#This Row],[Treatment]],Table1[Treatment Type],0))</f>
        <v>K04.0</v>
      </c>
      <c r="K347" t="s">
        <v>28</v>
      </c>
      <c r="L347" t="s">
        <v>28</v>
      </c>
      <c r="M347" t="s">
        <v>29</v>
      </c>
      <c r="N347">
        <f>Table2[[#This Row],[Total Paid]]+Table2[[#This Row],[Due]]</f>
        <v>2710</v>
      </c>
      <c r="O347">
        <v>2710</v>
      </c>
      <c r="P347">
        <v>0</v>
      </c>
      <c r="Q347">
        <v>0</v>
      </c>
      <c r="R347">
        <v>0</v>
      </c>
      <c r="S347">
        <v>0</v>
      </c>
      <c r="T347">
        <v>2710</v>
      </c>
      <c r="U347">
        <v>0</v>
      </c>
      <c r="V347">
        <v>2710</v>
      </c>
      <c r="W347" t="s">
        <v>42</v>
      </c>
      <c r="X347" s="6" t="s">
        <v>615</v>
      </c>
    </row>
    <row r="348" spans="1:24" hidden="1" x14ac:dyDescent="0.25">
      <c r="A348" t="s">
        <v>622</v>
      </c>
      <c r="B348" t="s">
        <v>290</v>
      </c>
      <c r="C348" t="s">
        <v>34</v>
      </c>
      <c r="D348">
        <v>27</v>
      </c>
      <c r="E348" s="1">
        <v>45209</v>
      </c>
      <c r="F348" t="s">
        <v>35</v>
      </c>
      <c r="G348" t="s">
        <v>36</v>
      </c>
      <c r="H348" t="str">
        <f>INDEX(Table1[Diagnosis],MATCH(I348,'codeand diagnosis'!$A$2:$A$11,0))</f>
        <v>Dental examination with radiology</v>
      </c>
      <c r="I348" t="s">
        <v>37</v>
      </c>
      <c r="J348" t="str">
        <f>INDEX(Table1[ICD-10 Code],MATCH(Table2[[#This Row],[Treatment]],Table1[Treatment Type],0))</f>
        <v>Z01.2</v>
      </c>
      <c r="K348" t="s">
        <v>28</v>
      </c>
      <c r="L348" t="s">
        <v>38</v>
      </c>
      <c r="M348" t="s">
        <v>29</v>
      </c>
      <c r="N348">
        <f>Table2[[#This Row],[Total Paid]]+Table2[[#This Row],[Due]]</f>
        <v>350</v>
      </c>
      <c r="O348">
        <v>0</v>
      </c>
      <c r="P348">
        <v>150</v>
      </c>
      <c r="Q348">
        <v>200</v>
      </c>
      <c r="R348">
        <v>0</v>
      </c>
      <c r="S348">
        <v>0</v>
      </c>
      <c r="T348">
        <v>350</v>
      </c>
      <c r="U348">
        <v>0</v>
      </c>
      <c r="V348">
        <v>350</v>
      </c>
      <c r="W348" t="s">
        <v>51</v>
      </c>
      <c r="X348" s="6" t="s">
        <v>615</v>
      </c>
    </row>
    <row r="349" spans="1:24" hidden="1" x14ac:dyDescent="0.25">
      <c r="A349" t="s">
        <v>623</v>
      </c>
      <c r="B349" t="s">
        <v>520</v>
      </c>
      <c r="C349" t="s">
        <v>34</v>
      </c>
      <c r="D349">
        <v>67</v>
      </c>
      <c r="E349" s="1">
        <v>45209</v>
      </c>
      <c r="F349" t="s">
        <v>50</v>
      </c>
      <c r="G349" t="s">
        <v>36</v>
      </c>
      <c r="H349" t="str">
        <f>INDEX(Table1[Diagnosis],MATCH(I349,'codeand diagnosis'!$A$2:$A$11,0))</f>
        <v>Dental examination with radiology</v>
      </c>
      <c r="I349" t="s">
        <v>37</v>
      </c>
      <c r="J349" t="str">
        <f>INDEX(Table1[ICD-10 Code],MATCH(Table2[[#This Row],[Treatment]],Table1[Treatment Type],0))</f>
        <v>Z01.2</v>
      </c>
      <c r="K349" t="s">
        <v>28</v>
      </c>
      <c r="L349" t="s">
        <v>38</v>
      </c>
      <c r="M349" t="s">
        <v>29</v>
      </c>
      <c r="N349">
        <f>Table2[[#This Row],[Total Paid]]+Table2[[#This Row],[Due]]</f>
        <v>350</v>
      </c>
      <c r="O349">
        <v>0</v>
      </c>
      <c r="P349">
        <v>150</v>
      </c>
      <c r="Q349">
        <v>200</v>
      </c>
      <c r="R349">
        <v>0</v>
      </c>
      <c r="S349">
        <v>0</v>
      </c>
      <c r="T349">
        <v>350</v>
      </c>
      <c r="U349">
        <v>0</v>
      </c>
      <c r="V349">
        <v>350</v>
      </c>
      <c r="W349" t="s">
        <v>51</v>
      </c>
      <c r="X349" s="6" t="s">
        <v>615</v>
      </c>
    </row>
    <row r="350" spans="1:24" hidden="1" x14ac:dyDescent="0.25">
      <c r="A350" t="s">
        <v>624</v>
      </c>
      <c r="B350" t="s">
        <v>161</v>
      </c>
      <c r="C350" t="s">
        <v>24</v>
      </c>
      <c r="D350">
        <v>40</v>
      </c>
      <c r="E350" s="1">
        <v>45270</v>
      </c>
      <c r="F350" t="s">
        <v>35</v>
      </c>
      <c r="G350" t="s">
        <v>26</v>
      </c>
      <c r="H350" t="str">
        <f>INDEX(Table1[Diagnosis],MATCH(I350,'codeand diagnosis'!$A$2:$A$11,0))</f>
        <v>Dental examination</v>
      </c>
      <c r="I350" t="s">
        <v>45</v>
      </c>
      <c r="J350" t="str">
        <f>INDEX(Table1[ICD-10 Code],MATCH(Table2[[#This Row],[Treatment]],Table1[Treatment Type],0))</f>
        <v>Z01.2</v>
      </c>
      <c r="K350" t="s">
        <v>28</v>
      </c>
      <c r="L350" t="s">
        <v>28</v>
      </c>
      <c r="M350" t="s">
        <v>29</v>
      </c>
      <c r="N350">
        <f>Table2[[#This Row],[Total Paid]]+Table2[[#This Row],[Due]]</f>
        <v>200</v>
      </c>
      <c r="O350">
        <v>0</v>
      </c>
      <c r="P350">
        <v>0</v>
      </c>
      <c r="Q350">
        <v>200</v>
      </c>
      <c r="R350">
        <v>0</v>
      </c>
      <c r="S350">
        <v>0</v>
      </c>
      <c r="T350">
        <v>200</v>
      </c>
      <c r="U350">
        <v>0</v>
      </c>
      <c r="V350">
        <v>200</v>
      </c>
      <c r="W350" t="s">
        <v>42</v>
      </c>
      <c r="X350" s="6" t="s">
        <v>615</v>
      </c>
    </row>
    <row r="351" spans="1:24" hidden="1" x14ac:dyDescent="0.25">
      <c r="A351" t="s">
        <v>625</v>
      </c>
      <c r="B351" t="s">
        <v>294</v>
      </c>
      <c r="C351" t="s">
        <v>34</v>
      </c>
      <c r="D351">
        <v>37</v>
      </c>
      <c r="E351" s="1">
        <v>45270</v>
      </c>
      <c r="F351" t="s">
        <v>50</v>
      </c>
      <c r="G351" t="s">
        <v>26</v>
      </c>
      <c r="H351" t="str">
        <f>INDEX(Table1[Diagnosis],MATCH(I351,'codeand diagnosis'!$A$2:$A$11,0))</f>
        <v>Dental examination with radiology</v>
      </c>
      <c r="I351" t="s">
        <v>37</v>
      </c>
      <c r="J351" t="str">
        <f>INDEX(Table1[ICD-10 Code],MATCH(Table2[[#This Row],[Treatment]],Table1[Treatment Type],0))</f>
        <v>Z01.2</v>
      </c>
      <c r="K351" t="s">
        <v>28</v>
      </c>
      <c r="L351" t="s">
        <v>38</v>
      </c>
      <c r="M351" t="s">
        <v>29</v>
      </c>
      <c r="N351">
        <f>Table2[[#This Row],[Total Paid]]+Table2[[#This Row],[Due]]</f>
        <v>350</v>
      </c>
      <c r="O351">
        <v>0</v>
      </c>
      <c r="P351">
        <v>150</v>
      </c>
      <c r="Q351">
        <v>200</v>
      </c>
      <c r="R351">
        <v>0</v>
      </c>
      <c r="S351">
        <v>0</v>
      </c>
      <c r="T351">
        <v>350</v>
      </c>
      <c r="U351">
        <v>0</v>
      </c>
      <c r="V351">
        <v>350</v>
      </c>
      <c r="W351" t="s">
        <v>47</v>
      </c>
      <c r="X351" s="6" t="s">
        <v>615</v>
      </c>
    </row>
    <row r="352" spans="1:24" hidden="1" x14ac:dyDescent="0.25">
      <c r="A352" t="s">
        <v>626</v>
      </c>
      <c r="B352" t="s">
        <v>67</v>
      </c>
      <c r="C352" t="s">
        <v>24</v>
      </c>
      <c r="D352">
        <v>23</v>
      </c>
      <c r="E352" t="s">
        <v>627</v>
      </c>
      <c r="F352" t="s">
        <v>25</v>
      </c>
      <c r="G352" t="s">
        <v>26</v>
      </c>
      <c r="H352" t="str">
        <f>INDEX(Table1[Diagnosis],MATCH(I352,'codeand diagnosis'!$A$2:$A$11,0))</f>
        <v>Dental examination</v>
      </c>
      <c r="I352" t="s">
        <v>45</v>
      </c>
      <c r="J352" t="str">
        <f>INDEX(Table1[ICD-10 Code],MATCH(Table2[[#This Row],[Treatment]],Table1[Treatment Type],0))</f>
        <v>Z01.2</v>
      </c>
      <c r="K352" t="s">
        <v>28</v>
      </c>
      <c r="L352" t="s">
        <v>28</v>
      </c>
      <c r="M352" t="s">
        <v>29</v>
      </c>
      <c r="N352">
        <f>Table2[[#This Row],[Total Paid]]+Table2[[#This Row],[Due]]</f>
        <v>120</v>
      </c>
      <c r="O352">
        <v>0</v>
      </c>
      <c r="P352">
        <v>0</v>
      </c>
      <c r="Q352">
        <v>200</v>
      </c>
      <c r="R352">
        <v>0</v>
      </c>
      <c r="S352">
        <v>80</v>
      </c>
      <c r="T352">
        <v>120</v>
      </c>
      <c r="U352">
        <v>0</v>
      </c>
      <c r="V352">
        <v>120</v>
      </c>
      <c r="W352" t="s">
        <v>47</v>
      </c>
      <c r="X352" s="6" t="s">
        <v>615</v>
      </c>
    </row>
    <row r="353" spans="1:24" hidden="1" x14ac:dyDescent="0.25">
      <c r="A353" t="s">
        <v>628</v>
      </c>
      <c r="B353" t="s">
        <v>314</v>
      </c>
      <c r="C353" t="s">
        <v>24</v>
      </c>
      <c r="D353">
        <v>61</v>
      </c>
      <c r="E353" t="s">
        <v>627</v>
      </c>
      <c r="F353" t="s">
        <v>88</v>
      </c>
      <c r="G353" t="s">
        <v>26</v>
      </c>
      <c r="H353" t="str">
        <f>INDEX(Table1[Diagnosis],MATCH(I353,'codeand diagnosis'!$A$2:$A$11,0))</f>
        <v>Gingivitis</v>
      </c>
      <c r="I353" t="s">
        <v>27</v>
      </c>
      <c r="J353" t="str">
        <f>INDEX(Table1[ICD-10 Code],MATCH(Table2[[#This Row],[Treatment]],Table1[Treatment Type],0))</f>
        <v>K05.10</v>
      </c>
      <c r="K353" t="s">
        <v>28</v>
      </c>
      <c r="L353" t="s">
        <v>28</v>
      </c>
      <c r="M353" t="s">
        <v>46</v>
      </c>
      <c r="N353">
        <f>Table2[[#This Row],[Total Paid]]+Table2[[#This Row],[Due]]</f>
        <v>425</v>
      </c>
      <c r="O353">
        <v>425</v>
      </c>
      <c r="P353">
        <v>0</v>
      </c>
      <c r="Q353">
        <v>0</v>
      </c>
      <c r="R353">
        <v>0</v>
      </c>
      <c r="S353">
        <v>0</v>
      </c>
      <c r="T353">
        <v>425</v>
      </c>
      <c r="U353">
        <v>0</v>
      </c>
      <c r="V353">
        <v>425</v>
      </c>
      <c r="W353" t="s">
        <v>51</v>
      </c>
      <c r="X353" s="6" t="s">
        <v>615</v>
      </c>
    </row>
    <row r="354" spans="1:24" hidden="1" x14ac:dyDescent="0.25">
      <c r="A354" t="s">
        <v>629</v>
      </c>
      <c r="B354" t="s">
        <v>306</v>
      </c>
      <c r="C354" t="s">
        <v>24</v>
      </c>
      <c r="D354">
        <v>63</v>
      </c>
      <c r="E354" t="s">
        <v>630</v>
      </c>
      <c r="F354" t="s">
        <v>50</v>
      </c>
      <c r="G354" t="s">
        <v>36</v>
      </c>
      <c r="H354" t="str">
        <f>INDEX(Table1[Diagnosis],MATCH(I354,'codeand diagnosis'!$A$2:$A$11,0))</f>
        <v>Dental examination</v>
      </c>
      <c r="I354" t="s">
        <v>45</v>
      </c>
      <c r="J354" t="str">
        <f>INDEX(Table1[ICD-10 Code],MATCH(Table2[[#This Row],[Treatment]],Table1[Treatment Type],0))</f>
        <v>Z01.2</v>
      </c>
      <c r="K354" t="s">
        <v>28</v>
      </c>
      <c r="L354" t="s">
        <v>28</v>
      </c>
      <c r="M354" t="s">
        <v>29</v>
      </c>
      <c r="N354">
        <f>Table2[[#This Row],[Total Paid]]+Table2[[#This Row],[Due]]</f>
        <v>120</v>
      </c>
      <c r="O354">
        <v>0</v>
      </c>
      <c r="P354">
        <v>0</v>
      </c>
      <c r="Q354">
        <v>200</v>
      </c>
      <c r="R354">
        <v>0</v>
      </c>
      <c r="S354">
        <v>80</v>
      </c>
      <c r="T354">
        <v>120</v>
      </c>
      <c r="U354">
        <v>0</v>
      </c>
      <c r="V354">
        <v>120</v>
      </c>
      <c r="W354" t="s">
        <v>51</v>
      </c>
      <c r="X354" s="6" t="s">
        <v>615</v>
      </c>
    </row>
    <row r="355" spans="1:24" hidden="1" x14ac:dyDescent="0.25">
      <c r="A355" t="s">
        <v>631</v>
      </c>
      <c r="B355" t="s">
        <v>197</v>
      </c>
      <c r="C355" t="s">
        <v>24</v>
      </c>
      <c r="D355">
        <v>15</v>
      </c>
      <c r="E355" t="s">
        <v>632</v>
      </c>
      <c r="F355" t="s">
        <v>88</v>
      </c>
      <c r="G355" t="s">
        <v>26</v>
      </c>
      <c r="H355" t="str">
        <f>INDEX(Table1[Diagnosis],MATCH(I355,'codeand diagnosis'!$A$2:$A$11,0))</f>
        <v>Dental examination</v>
      </c>
      <c r="I355" t="s">
        <v>45</v>
      </c>
      <c r="J355" t="str">
        <f>INDEX(Table1[ICD-10 Code],MATCH(Table2[[#This Row],[Treatment]],Table1[Treatment Type],0))</f>
        <v>Z01.2</v>
      </c>
      <c r="K355" t="s">
        <v>28</v>
      </c>
      <c r="L355" t="s">
        <v>28</v>
      </c>
      <c r="M355" t="s">
        <v>46</v>
      </c>
      <c r="N355">
        <f>Table2[[#This Row],[Total Paid]]+Table2[[#This Row],[Due]]</f>
        <v>200</v>
      </c>
      <c r="O355">
        <v>0</v>
      </c>
      <c r="P355">
        <v>0</v>
      </c>
      <c r="Q355">
        <v>200</v>
      </c>
      <c r="R355">
        <v>0</v>
      </c>
      <c r="S355">
        <v>0</v>
      </c>
      <c r="T355">
        <v>200</v>
      </c>
      <c r="U355">
        <v>0</v>
      </c>
      <c r="V355">
        <v>200</v>
      </c>
      <c r="W355" t="s">
        <v>30</v>
      </c>
      <c r="X355" s="6" t="s">
        <v>615</v>
      </c>
    </row>
    <row r="356" spans="1:24" hidden="1" x14ac:dyDescent="0.25">
      <c r="A356" t="s">
        <v>633</v>
      </c>
      <c r="B356" t="s">
        <v>173</v>
      </c>
      <c r="C356" t="s">
        <v>24</v>
      </c>
      <c r="D356">
        <v>72</v>
      </c>
      <c r="E356" t="s">
        <v>634</v>
      </c>
      <c r="F356" t="s">
        <v>88</v>
      </c>
      <c r="G356" t="s">
        <v>36</v>
      </c>
      <c r="H356" t="str">
        <f>INDEX(Table1[Diagnosis],MATCH(I356,'codeand diagnosis'!$A$2:$A$11,0))</f>
        <v>Dental examination</v>
      </c>
      <c r="I356" t="s">
        <v>45</v>
      </c>
      <c r="J356" t="str">
        <f>INDEX(Table1[ICD-10 Code],MATCH(Table2[[#This Row],[Treatment]],Table1[Treatment Type],0))</f>
        <v>Z01.2</v>
      </c>
      <c r="K356" t="s">
        <v>28</v>
      </c>
      <c r="L356" t="s">
        <v>28</v>
      </c>
      <c r="M356" t="s">
        <v>29</v>
      </c>
      <c r="N356">
        <f>Table2[[#This Row],[Total Paid]]+Table2[[#This Row],[Due]]</f>
        <v>200</v>
      </c>
      <c r="O356">
        <v>0</v>
      </c>
      <c r="P356">
        <v>0</v>
      </c>
      <c r="Q356">
        <v>200</v>
      </c>
      <c r="R356">
        <v>0</v>
      </c>
      <c r="S356">
        <v>0</v>
      </c>
      <c r="T356">
        <v>200</v>
      </c>
      <c r="U356">
        <v>0</v>
      </c>
      <c r="V356">
        <v>200</v>
      </c>
      <c r="W356" t="s">
        <v>51</v>
      </c>
      <c r="X356" s="6" t="s">
        <v>615</v>
      </c>
    </row>
    <row r="357" spans="1:24" hidden="1" x14ac:dyDescent="0.25">
      <c r="A357" t="s">
        <v>635</v>
      </c>
      <c r="B357" t="s">
        <v>420</v>
      </c>
      <c r="C357" t="s">
        <v>34</v>
      </c>
      <c r="D357">
        <v>58</v>
      </c>
      <c r="E357" t="s">
        <v>634</v>
      </c>
      <c r="F357" t="s">
        <v>50</v>
      </c>
      <c r="G357" t="s">
        <v>26</v>
      </c>
      <c r="H357" t="str">
        <f>INDEX(Table1[Diagnosis],MATCH(I357,'codeand diagnosis'!$A$2:$A$11,0))</f>
        <v>Dental examination with radiology</v>
      </c>
      <c r="I357" t="s">
        <v>37</v>
      </c>
      <c r="J357" t="str">
        <f>INDEX(Table1[ICD-10 Code],MATCH(Table2[[#This Row],[Treatment]],Table1[Treatment Type],0))</f>
        <v>Z01.2</v>
      </c>
      <c r="K357" t="s">
        <v>28</v>
      </c>
      <c r="L357" t="s">
        <v>38</v>
      </c>
      <c r="M357" t="s">
        <v>46</v>
      </c>
      <c r="N357">
        <f>Table2[[#This Row],[Total Paid]]+Table2[[#This Row],[Due]]</f>
        <v>350</v>
      </c>
      <c r="O357">
        <v>0</v>
      </c>
      <c r="P357">
        <v>150</v>
      </c>
      <c r="Q357">
        <v>200</v>
      </c>
      <c r="R357">
        <v>0</v>
      </c>
      <c r="S357">
        <v>0</v>
      </c>
      <c r="T357">
        <v>350</v>
      </c>
      <c r="U357">
        <v>0</v>
      </c>
      <c r="V357">
        <v>350</v>
      </c>
      <c r="W357" t="s">
        <v>51</v>
      </c>
      <c r="X357" s="6" t="s">
        <v>615</v>
      </c>
    </row>
    <row r="358" spans="1:24" hidden="1" x14ac:dyDescent="0.25">
      <c r="A358" t="s">
        <v>636</v>
      </c>
      <c r="B358" t="s">
        <v>224</v>
      </c>
      <c r="C358" t="s">
        <v>34</v>
      </c>
      <c r="D358">
        <v>11</v>
      </c>
      <c r="E358" t="s">
        <v>637</v>
      </c>
      <c r="F358" t="s">
        <v>35</v>
      </c>
      <c r="G358" t="s">
        <v>26</v>
      </c>
      <c r="H358" t="str">
        <f>INDEX(Table1[Diagnosis],MATCH(I358,'codeand diagnosis'!$A$2:$A$11,0))</f>
        <v>Dental examination with radiology</v>
      </c>
      <c r="I358" t="s">
        <v>37</v>
      </c>
      <c r="J358" t="str">
        <f>INDEX(Table1[ICD-10 Code],MATCH(Table2[[#This Row],[Treatment]],Table1[Treatment Type],0))</f>
        <v>Z01.2</v>
      </c>
      <c r="K358" t="s">
        <v>28</v>
      </c>
      <c r="L358" t="s">
        <v>38</v>
      </c>
      <c r="M358" t="s">
        <v>61</v>
      </c>
      <c r="N358">
        <f>Table2[[#This Row],[Total Paid]]+Table2[[#This Row],[Due]]</f>
        <v>350</v>
      </c>
      <c r="O358">
        <v>0</v>
      </c>
      <c r="P358">
        <v>150</v>
      </c>
      <c r="Q358">
        <v>200</v>
      </c>
      <c r="R358">
        <v>0</v>
      </c>
      <c r="S358">
        <v>0</v>
      </c>
      <c r="T358">
        <v>350</v>
      </c>
      <c r="U358">
        <v>0</v>
      </c>
      <c r="V358">
        <v>350</v>
      </c>
      <c r="W358" t="s">
        <v>30</v>
      </c>
      <c r="X358" s="6" t="s">
        <v>615</v>
      </c>
    </row>
    <row r="359" spans="1:24" hidden="1" x14ac:dyDescent="0.25">
      <c r="A359" t="s">
        <v>638</v>
      </c>
      <c r="B359" t="s">
        <v>262</v>
      </c>
      <c r="C359" t="s">
        <v>34</v>
      </c>
      <c r="D359">
        <v>15</v>
      </c>
      <c r="E359" t="s">
        <v>637</v>
      </c>
      <c r="F359" t="s">
        <v>132</v>
      </c>
      <c r="G359" t="s">
        <v>36</v>
      </c>
      <c r="H359" t="str">
        <f>INDEX(Table1[Diagnosis],MATCH(I359,'codeand diagnosis'!$A$2:$A$11,0))</f>
        <v>Loss of teeth</v>
      </c>
      <c r="I359" t="s">
        <v>68</v>
      </c>
      <c r="J359" t="str">
        <f>INDEX(Table1[ICD-10 Code],MATCH(Table2[[#This Row],[Treatment]],Table1[Treatment Type],0))</f>
        <v>K08.1</v>
      </c>
      <c r="K359" t="s">
        <v>28</v>
      </c>
      <c r="L359" t="s">
        <v>38</v>
      </c>
      <c r="M359" t="s">
        <v>29</v>
      </c>
      <c r="N359">
        <f>Table2[[#This Row],[Total Paid]]+Table2[[#This Row],[Due]]</f>
        <v>846</v>
      </c>
      <c r="O359">
        <v>846</v>
      </c>
      <c r="P359">
        <v>0</v>
      </c>
      <c r="Q359">
        <v>0</v>
      </c>
      <c r="R359">
        <v>0</v>
      </c>
      <c r="S359">
        <v>0</v>
      </c>
      <c r="T359">
        <v>846</v>
      </c>
      <c r="U359">
        <v>0</v>
      </c>
      <c r="V359">
        <v>846</v>
      </c>
      <c r="W359" t="s">
        <v>47</v>
      </c>
      <c r="X359" s="6" t="s">
        <v>615</v>
      </c>
    </row>
    <row r="360" spans="1:24" hidden="1" x14ac:dyDescent="0.25">
      <c r="A360" t="s">
        <v>639</v>
      </c>
      <c r="B360" t="s">
        <v>137</v>
      </c>
      <c r="C360" t="s">
        <v>24</v>
      </c>
      <c r="D360">
        <v>47</v>
      </c>
      <c r="E360" t="s">
        <v>637</v>
      </c>
      <c r="F360" t="s">
        <v>132</v>
      </c>
      <c r="G360" t="s">
        <v>26</v>
      </c>
      <c r="H360" t="str">
        <f>INDEX(Table1[Diagnosis],MATCH(I360,'codeand diagnosis'!$A$2:$A$11,0))</f>
        <v>Pulpitis</v>
      </c>
      <c r="I360" t="s">
        <v>111</v>
      </c>
      <c r="J360" t="str">
        <f>INDEX(Table1[ICD-10 Code],MATCH(Table2[[#This Row],[Treatment]],Table1[Treatment Type],0))</f>
        <v>K04.0</v>
      </c>
      <c r="K360" t="s">
        <v>28</v>
      </c>
      <c r="L360" t="s">
        <v>28</v>
      </c>
      <c r="M360" t="s">
        <v>29</v>
      </c>
      <c r="N360">
        <f>Table2[[#This Row],[Total Paid]]+Table2[[#This Row],[Due]]</f>
        <v>4185</v>
      </c>
      <c r="O360">
        <v>4185</v>
      </c>
      <c r="P360">
        <v>0</v>
      </c>
      <c r="Q360">
        <v>0</v>
      </c>
      <c r="R360">
        <v>0</v>
      </c>
      <c r="S360">
        <v>0</v>
      </c>
      <c r="T360">
        <v>4185</v>
      </c>
      <c r="U360">
        <v>0</v>
      </c>
      <c r="V360">
        <v>4185</v>
      </c>
      <c r="W360" t="s">
        <v>51</v>
      </c>
      <c r="X360" s="6" t="s">
        <v>615</v>
      </c>
    </row>
    <row r="361" spans="1:24" hidden="1" x14ac:dyDescent="0.25">
      <c r="A361" t="s">
        <v>640</v>
      </c>
      <c r="B361" t="s">
        <v>275</v>
      </c>
      <c r="C361" t="s">
        <v>34</v>
      </c>
      <c r="D361">
        <v>44</v>
      </c>
      <c r="E361" t="s">
        <v>641</v>
      </c>
      <c r="F361" t="s">
        <v>25</v>
      </c>
      <c r="G361" t="s">
        <v>36</v>
      </c>
      <c r="H361" t="str">
        <f>INDEX(Table1[Diagnosis],MATCH(I361,'codeand diagnosis'!$A$2:$A$11,0))</f>
        <v>Dental examination</v>
      </c>
      <c r="I361" t="s">
        <v>45</v>
      </c>
      <c r="J361" t="str">
        <f>INDEX(Table1[ICD-10 Code],MATCH(Table2[[#This Row],[Treatment]],Table1[Treatment Type],0))</f>
        <v>Z01.2</v>
      </c>
      <c r="K361" t="s">
        <v>28</v>
      </c>
      <c r="L361" t="s">
        <v>28</v>
      </c>
      <c r="M361" t="s">
        <v>29</v>
      </c>
      <c r="N361">
        <f>Table2[[#This Row],[Total Paid]]+Table2[[#This Row],[Due]]</f>
        <v>200</v>
      </c>
      <c r="O361">
        <v>0</v>
      </c>
      <c r="P361">
        <v>0</v>
      </c>
      <c r="Q361">
        <v>200</v>
      </c>
      <c r="R361">
        <v>0</v>
      </c>
      <c r="S361">
        <v>0</v>
      </c>
      <c r="T361">
        <v>200</v>
      </c>
      <c r="U361">
        <v>0</v>
      </c>
      <c r="V361">
        <v>200</v>
      </c>
      <c r="W361" t="s">
        <v>51</v>
      </c>
      <c r="X361" s="6" t="s">
        <v>615</v>
      </c>
    </row>
    <row r="362" spans="1:24" hidden="1" x14ac:dyDescent="0.25">
      <c r="A362" t="s">
        <v>642</v>
      </c>
      <c r="B362" t="s">
        <v>428</v>
      </c>
      <c r="C362" t="s">
        <v>24</v>
      </c>
      <c r="D362">
        <v>64</v>
      </c>
      <c r="E362" t="s">
        <v>641</v>
      </c>
      <c r="F362" t="s">
        <v>88</v>
      </c>
      <c r="G362" t="s">
        <v>26</v>
      </c>
      <c r="H362" t="str">
        <f>INDEX(Table1[Diagnosis],MATCH(I362,'codeand diagnosis'!$A$2:$A$11,0))</f>
        <v>Dental examination</v>
      </c>
      <c r="I362" t="s">
        <v>45</v>
      </c>
      <c r="J362" t="str">
        <f>INDEX(Table1[ICD-10 Code],MATCH(Table2[[#This Row],[Treatment]],Table1[Treatment Type],0))</f>
        <v>Z01.2</v>
      </c>
      <c r="K362" t="s">
        <v>28</v>
      </c>
      <c r="L362" t="s">
        <v>28</v>
      </c>
      <c r="M362" t="s">
        <v>29</v>
      </c>
      <c r="N362">
        <f>Table2[[#This Row],[Total Paid]]+Table2[[#This Row],[Due]]</f>
        <v>200</v>
      </c>
      <c r="O362">
        <v>0</v>
      </c>
      <c r="P362">
        <v>0</v>
      </c>
      <c r="Q362">
        <v>200</v>
      </c>
      <c r="R362">
        <v>0</v>
      </c>
      <c r="S362">
        <v>0</v>
      </c>
      <c r="T362">
        <v>200</v>
      </c>
      <c r="U362">
        <v>0</v>
      </c>
      <c r="V362">
        <v>200</v>
      </c>
      <c r="W362" t="s">
        <v>30</v>
      </c>
      <c r="X362" s="6" t="s">
        <v>615</v>
      </c>
    </row>
    <row r="363" spans="1:24" hidden="1" x14ac:dyDescent="0.25">
      <c r="A363" t="s">
        <v>643</v>
      </c>
      <c r="B363" t="s">
        <v>94</v>
      </c>
      <c r="C363" t="s">
        <v>24</v>
      </c>
      <c r="D363">
        <v>10</v>
      </c>
      <c r="E363" t="s">
        <v>641</v>
      </c>
      <c r="F363" t="s">
        <v>50</v>
      </c>
      <c r="G363" t="s">
        <v>26</v>
      </c>
      <c r="H363" t="str">
        <f>INDEX(Table1[Diagnosis],MATCH(I363,'codeand diagnosis'!$A$2:$A$11,0))</f>
        <v>Dental examination</v>
      </c>
      <c r="I363" t="s">
        <v>45</v>
      </c>
      <c r="J363" t="str">
        <f>INDEX(Table1[ICD-10 Code],MATCH(Table2[[#This Row],[Treatment]],Table1[Treatment Type],0))</f>
        <v>Z01.2</v>
      </c>
      <c r="K363" t="s">
        <v>28</v>
      </c>
      <c r="L363" t="s">
        <v>28</v>
      </c>
      <c r="M363" t="s">
        <v>29</v>
      </c>
      <c r="N363">
        <f>Table2[[#This Row],[Total Paid]]+Table2[[#This Row],[Due]]</f>
        <v>200</v>
      </c>
      <c r="O363">
        <v>0</v>
      </c>
      <c r="P363">
        <v>0</v>
      </c>
      <c r="Q363">
        <v>200</v>
      </c>
      <c r="R363">
        <v>0</v>
      </c>
      <c r="S363">
        <v>0</v>
      </c>
      <c r="T363">
        <v>200</v>
      </c>
      <c r="U363">
        <v>0</v>
      </c>
      <c r="V363">
        <v>200</v>
      </c>
      <c r="W363" t="s">
        <v>51</v>
      </c>
      <c r="X363" s="6" t="s">
        <v>615</v>
      </c>
    </row>
    <row r="364" spans="1:24" hidden="1" x14ac:dyDescent="0.25">
      <c r="A364" t="s">
        <v>644</v>
      </c>
      <c r="B364" t="s">
        <v>63</v>
      </c>
      <c r="C364" t="s">
        <v>24</v>
      </c>
      <c r="D364">
        <v>35</v>
      </c>
      <c r="E364" t="s">
        <v>645</v>
      </c>
      <c r="F364" t="s">
        <v>104</v>
      </c>
      <c r="G364" t="s">
        <v>26</v>
      </c>
      <c r="H364" t="str">
        <f>INDEX(Table1[Diagnosis],MATCH(I364,'codeand diagnosis'!$A$2:$A$11,0))</f>
        <v>Dental examination</v>
      </c>
      <c r="I364" t="s">
        <v>45</v>
      </c>
      <c r="J364" t="str">
        <f>INDEX(Table1[ICD-10 Code],MATCH(Table2[[#This Row],[Treatment]],Table1[Treatment Type],0))</f>
        <v>Z01.2</v>
      </c>
      <c r="K364" t="s">
        <v>28</v>
      </c>
      <c r="L364" t="s">
        <v>28</v>
      </c>
      <c r="M364" t="s">
        <v>29</v>
      </c>
      <c r="N364">
        <f>Table2[[#This Row],[Total Paid]]+Table2[[#This Row],[Due]]</f>
        <v>120</v>
      </c>
      <c r="O364">
        <v>0</v>
      </c>
      <c r="P364">
        <v>0</v>
      </c>
      <c r="Q364">
        <v>200</v>
      </c>
      <c r="R364">
        <v>0</v>
      </c>
      <c r="S364">
        <v>80</v>
      </c>
      <c r="T364">
        <v>120</v>
      </c>
      <c r="U364">
        <v>0</v>
      </c>
      <c r="V364">
        <v>120</v>
      </c>
      <c r="W364" t="s">
        <v>42</v>
      </c>
      <c r="X364" s="6" t="s">
        <v>615</v>
      </c>
    </row>
    <row r="365" spans="1:24" hidden="1" x14ac:dyDescent="0.25">
      <c r="A365" t="s">
        <v>646</v>
      </c>
      <c r="B365" t="s">
        <v>57</v>
      </c>
      <c r="C365" t="s">
        <v>24</v>
      </c>
      <c r="D365">
        <v>61</v>
      </c>
      <c r="E365" t="s">
        <v>645</v>
      </c>
      <c r="F365" t="s">
        <v>35</v>
      </c>
      <c r="G365" t="s">
        <v>26</v>
      </c>
      <c r="H365" t="str">
        <f>INDEX(Table1[Diagnosis],MATCH(I365,'codeand diagnosis'!$A$2:$A$11,0))</f>
        <v>Dental examination</v>
      </c>
      <c r="I365" t="s">
        <v>45</v>
      </c>
      <c r="J365" t="str">
        <f>INDEX(Table1[ICD-10 Code],MATCH(Table2[[#This Row],[Treatment]],Table1[Treatment Type],0))</f>
        <v>Z01.2</v>
      </c>
      <c r="K365" t="s">
        <v>28</v>
      </c>
      <c r="L365" t="s">
        <v>28</v>
      </c>
      <c r="M365" t="s">
        <v>46</v>
      </c>
      <c r="N365">
        <f>Table2[[#This Row],[Total Paid]]+Table2[[#This Row],[Due]]</f>
        <v>120</v>
      </c>
      <c r="O365">
        <v>0</v>
      </c>
      <c r="P365">
        <v>0</v>
      </c>
      <c r="Q365">
        <v>200</v>
      </c>
      <c r="R365">
        <v>0</v>
      </c>
      <c r="S365">
        <v>80</v>
      </c>
      <c r="T365">
        <v>120</v>
      </c>
      <c r="U365">
        <v>0</v>
      </c>
      <c r="V365">
        <v>120</v>
      </c>
      <c r="W365" t="s">
        <v>51</v>
      </c>
      <c r="X365" s="6" t="s">
        <v>615</v>
      </c>
    </row>
    <row r="366" spans="1:24" hidden="1" x14ac:dyDescent="0.25">
      <c r="A366" t="s">
        <v>647</v>
      </c>
      <c r="B366" t="s">
        <v>128</v>
      </c>
      <c r="C366" t="s">
        <v>24</v>
      </c>
      <c r="D366">
        <v>37</v>
      </c>
      <c r="E366" t="s">
        <v>648</v>
      </c>
      <c r="F366" t="s">
        <v>50</v>
      </c>
      <c r="G366" t="s">
        <v>26</v>
      </c>
      <c r="H366" t="str">
        <f>INDEX(Table1[Diagnosis],MATCH(I366,'codeand diagnosis'!$A$2:$A$11,0))</f>
        <v>Dental examination with radiology</v>
      </c>
      <c r="I366" t="s">
        <v>37</v>
      </c>
      <c r="J366" t="str">
        <f>INDEX(Table1[ICD-10 Code],MATCH(Table2[[#This Row],[Treatment]],Table1[Treatment Type],0))</f>
        <v>Z01.2</v>
      </c>
      <c r="K366" t="s">
        <v>28</v>
      </c>
      <c r="L366" t="s">
        <v>38</v>
      </c>
      <c r="M366" t="s">
        <v>29</v>
      </c>
      <c r="N366">
        <f>Table2[[#This Row],[Total Paid]]+Table2[[#This Row],[Due]]</f>
        <v>350</v>
      </c>
      <c r="O366">
        <v>0</v>
      </c>
      <c r="P366">
        <v>150</v>
      </c>
      <c r="Q366">
        <v>200</v>
      </c>
      <c r="R366">
        <v>0</v>
      </c>
      <c r="S366">
        <v>0</v>
      </c>
      <c r="T366">
        <v>350</v>
      </c>
      <c r="U366">
        <v>0</v>
      </c>
      <c r="V366">
        <v>350</v>
      </c>
      <c r="W366" t="s">
        <v>51</v>
      </c>
      <c r="X366" s="6" t="s">
        <v>615</v>
      </c>
    </row>
    <row r="367" spans="1:24" hidden="1" x14ac:dyDescent="0.25">
      <c r="A367" t="s">
        <v>649</v>
      </c>
      <c r="B367" t="s">
        <v>363</v>
      </c>
      <c r="C367" t="s">
        <v>34</v>
      </c>
      <c r="D367">
        <v>17</v>
      </c>
      <c r="E367" t="s">
        <v>650</v>
      </c>
      <c r="F367" t="s">
        <v>88</v>
      </c>
      <c r="G367" t="s">
        <v>36</v>
      </c>
      <c r="H367" t="str">
        <f>INDEX(Table1[Diagnosis],MATCH(I367,'codeand diagnosis'!$A$2:$A$11,0))</f>
        <v>Loss of teeth</v>
      </c>
      <c r="I367" t="s">
        <v>68</v>
      </c>
      <c r="J367" t="str">
        <f>INDEX(Table1[ICD-10 Code],MATCH(Table2[[#This Row],[Treatment]],Table1[Treatment Type],0))</f>
        <v>K08.1</v>
      </c>
      <c r="K367" t="s">
        <v>28</v>
      </c>
      <c r="L367" t="s">
        <v>38</v>
      </c>
      <c r="M367" t="s">
        <v>61</v>
      </c>
      <c r="N367">
        <f>Table2[[#This Row],[Total Paid]]+Table2[[#This Row],[Due]]</f>
        <v>649</v>
      </c>
      <c r="O367">
        <v>649</v>
      </c>
      <c r="P367">
        <v>0</v>
      </c>
      <c r="Q367">
        <v>0</v>
      </c>
      <c r="R367">
        <v>0</v>
      </c>
      <c r="S367">
        <v>0</v>
      </c>
      <c r="T367">
        <v>649</v>
      </c>
      <c r="U367">
        <v>0</v>
      </c>
      <c r="V367">
        <v>649</v>
      </c>
      <c r="W367" t="s">
        <v>42</v>
      </c>
      <c r="X367" s="6" t="s">
        <v>615</v>
      </c>
    </row>
    <row r="368" spans="1:24" hidden="1" x14ac:dyDescent="0.25">
      <c r="A368" t="s">
        <v>651</v>
      </c>
      <c r="B368" t="s">
        <v>340</v>
      </c>
      <c r="C368" t="s">
        <v>34</v>
      </c>
      <c r="D368">
        <v>63</v>
      </c>
      <c r="E368" t="s">
        <v>650</v>
      </c>
      <c r="F368" t="s">
        <v>88</v>
      </c>
      <c r="G368" t="s">
        <v>36</v>
      </c>
      <c r="H368" t="str">
        <f>INDEX(Table1[Diagnosis],MATCH(I368,'codeand diagnosis'!$A$2:$A$11,0))</f>
        <v>Loss of teeth</v>
      </c>
      <c r="I368" t="s">
        <v>68</v>
      </c>
      <c r="J368" t="str">
        <f>INDEX(Table1[ICD-10 Code],MATCH(Table2[[#This Row],[Treatment]],Table1[Treatment Type],0))</f>
        <v>K08.1</v>
      </c>
      <c r="K368" t="s">
        <v>28</v>
      </c>
      <c r="L368" t="s">
        <v>38</v>
      </c>
      <c r="M368" t="s">
        <v>61</v>
      </c>
      <c r="N368">
        <f>Table2[[#This Row],[Total Paid]]+Table2[[#This Row],[Due]]</f>
        <v>617</v>
      </c>
      <c r="O368">
        <v>617</v>
      </c>
      <c r="P368">
        <v>0</v>
      </c>
      <c r="Q368">
        <v>0</v>
      </c>
      <c r="R368">
        <v>0</v>
      </c>
      <c r="S368">
        <v>0</v>
      </c>
      <c r="T368">
        <v>617</v>
      </c>
      <c r="U368">
        <v>0</v>
      </c>
      <c r="V368">
        <v>617</v>
      </c>
      <c r="W368" t="s">
        <v>51</v>
      </c>
      <c r="X368" s="6" t="s">
        <v>615</v>
      </c>
    </row>
    <row r="369" spans="1:24" hidden="1" x14ac:dyDescent="0.25">
      <c r="A369" t="s">
        <v>652</v>
      </c>
      <c r="B369" t="s">
        <v>279</v>
      </c>
      <c r="C369" t="s">
        <v>34</v>
      </c>
      <c r="D369">
        <v>65</v>
      </c>
      <c r="E369" t="s">
        <v>653</v>
      </c>
      <c r="F369" t="s">
        <v>50</v>
      </c>
      <c r="G369" t="s">
        <v>26</v>
      </c>
      <c r="H369" t="str">
        <f>INDEX(Table1[Diagnosis],MATCH(I369,'codeand diagnosis'!$A$2:$A$11,0))</f>
        <v>Dental examination</v>
      </c>
      <c r="I369" t="s">
        <v>45</v>
      </c>
      <c r="J369" t="str">
        <f>INDEX(Table1[ICD-10 Code],MATCH(Table2[[#This Row],[Treatment]],Table1[Treatment Type],0))</f>
        <v>Z01.2</v>
      </c>
      <c r="K369" t="s">
        <v>28</v>
      </c>
      <c r="L369" t="s">
        <v>28</v>
      </c>
      <c r="M369" t="s">
        <v>29</v>
      </c>
      <c r="N369">
        <f>Table2[[#This Row],[Total Paid]]+Table2[[#This Row],[Due]]</f>
        <v>120</v>
      </c>
      <c r="O369">
        <v>0</v>
      </c>
      <c r="P369">
        <v>0</v>
      </c>
      <c r="Q369">
        <v>200</v>
      </c>
      <c r="R369">
        <v>0</v>
      </c>
      <c r="S369">
        <v>80</v>
      </c>
      <c r="T369">
        <v>120</v>
      </c>
      <c r="U369">
        <v>0</v>
      </c>
      <c r="V369">
        <v>120</v>
      </c>
      <c r="W369" t="s">
        <v>47</v>
      </c>
      <c r="X369" s="6" t="s">
        <v>615</v>
      </c>
    </row>
    <row r="370" spans="1:24" hidden="1" x14ac:dyDescent="0.25">
      <c r="A370" t="s">
        <v>654</v>
      </c>
      <c r="B370" t="s">
        <v>224</v>
      </c>
      <c r="C370" t="s">
        <v>34</v>
      </c>
      <c r="D370">
        <v>34</v>
      </c>
      <c r="E370" t="s">
        <v>653</v>
      </c>
      <c r="F370" t="s">
        <v>50</v>
      </c>
      <c r="G370" t="s">
        <v>26</v>
      </c>
      <c r="H370" t="str">
        <f>INDEX(Table1[Diagnosis],MATCH(I370,'codeand diagnosis'!$A$2:$A$11,0))</f>
        <v>Dental examination with radiology</v>
      </c>
      <c r="I370" t="s">
        <v>37</v>
      </c>
      <c r="J370" t="str">
        <f>INDEX(Table1[ICD-10 Code],MATCH(Table2[[#This Row],[Treatment]],Table1[Treatment Type],0))</f>
        <v>Z01.2</v>
      </c>
      <c r="K370" t="s">
        <v>28</v>
      </c>
      <c r="L370" t="s">
        <v>38</v>
      </c>
      <c r="M370" t="s">
        <v>29</v>
      </c>
      <c r="N370">
        <f>Table2[[#This Row],[Total Paid]]+Table2[[#This Row],[Due]]</f>
        <v>210</v>
      </c>
      <c r="O370">
        <v>0</v>
      </c>
      <c r="P370">
        <v>150</v>
      </c>
      <c r="Q370">
        <v>200</v>
      </c>
      <c r="R370">
        <v>0</v>
      </c>
      <c r="S370">
        <v>140</v>
      </c>
      <c r="T370">
        <v>210</v>
      </c>
      <c r="U370">
        <v>0</v>
      </c>
      <c r="V370">
        <v>210</v>
      </c>
      <c r="W370" t="s">
        <v>51</v>
      </c>
      <c r="X370" s="6" t="s">
        <v>615</v>
      </c>
    </row>
    <row r="371" spans="1:24" hidden="1" x14ac:dyDescent="0.25">
      <c r="A371" t="s">
        <v>655</v>
      </c>
      <c r="B371" t="s">
        <v>128</v>
      </c>
      <c r="C371" t="s">
        <v>24</v>
      </c>
      <c r="D371">
        <v>79</v>
      </c>
      <c r="E371" t="s">
        <v>656</v>
      </c>
      <c r="F371" t="s">
        <v>50</v>
      </c>
      <c r="G371" t="s">
        <v>36</v>
      </c>
      <c r="H371" t="str">
        <f>INDEX(Table1[Diagnosis],MATCH(I371,'codeand diagnosis'!$A$2:$A$11,0))</f>
        <v>Dental examination</v>
      </c>
      <c r="I371" t="s">
        <v>45</v>
      </c>
      <c r="J371" t="str">
        <f>INDEX(Table1[ICD-10 Code],MATCH(Table2[[#This Row],[Treatment]],Table1[Treatment Type],0))</f>
        <v>Z01.2</v>
      </c>
      <c r="K371" t="s">
        <v>28</v>
      </c>
      <c r="L371" t="s">
        <v>28</v>
      </c>
      <c r="M371" t="s">
        <v>29</v>
      </c>
      <c r="N371">
        <f>Table2[[#This Row],[Total Paid]]+Table2[[#This Row],[Due]]</f>
        <v>200</v>
      </c>
      <c r="O371">
        <v>0</v>
      </c>
      <c r="P371">
        <v>0</v>
      </c>
      <c r="Q371">
        <v>200</v>
      </c>
      <c r="R371">
        <v>0</v>
      </c>
      <c r="S371">
        <v>0</v>
      </c>
      <c r="T371">
        <v>200</v>
      </c>
      <c r="U371">
        <v>0</v>
      </c>
      <c r="V371">
        <v>200</v>
      </c>
      <c r="W371" t="s">
        <v>51</v>
      </c>
      <c r="X371" s="6" t="s">
        <v>615</v>
      </c>
    </row>
    <row r="372" spans="1:24" hidden="1" x14ac:dyDescent="0.25">
      <c r="A372" t="s">
        <v>657</v>
      </c>
      <c r="B372" t="s">
        <v>63</v>
      </c>
      <c r="C372" t="s">
        <v>24</v>
      </c>
      <c r="D372">
        <v>70</v>
      </c>
      <c r="E372" t="s">
        <v>656</v>
      </c>
      <c r="F372" t="s">
        <v>132</v>
      </c>
      <c r="G372" t="s">
        <v>26</v>
      </c>
      <c r="H372" t="str">
        <f>INDEX(Table1[Diagnosis],MATCH(I372,'codeand diagnosis'!$A$2:$A$11,0))</f>
        <v>Dental examination with radiology</v>
      </c>
      <c r="I372" t="s">
        <v>37</v>
      </c>
      <c r="J372" t="str">
        <f>INDEX(Table1[ICD-10 Code],MATCH(Table2[[#This Row],[Treatment]],Table1[Treatment Type],0))</f>
        <v>Z01.2</v>
      </c>
      <c r="K372" t="s">
        <v>28</v>
      </c>
      <c r="L372" t="s">
        <v>38</v>
      </c>
      <c r="M372" t="s">
        <v>29</v>
      </c>
      <c r="N372">
        <f>Table2[[#This Row],[Total Paid]]+Table2[[#This Row],[Due]]</f>
        <v>210</v>
      </c>
      <c r="O372">
        <v>0</v>
      </c>
      <c r="P372">
        <v>150</v>
      </c>
      <c r="Q372">
        <v>200</v>
      </c>
      <c r="R372">
        <v>0</v>
      </c>
      <c r="S372">
        <v>140</v>
      </c>
      <c r="T372">
        <v>210</v>
      </c>
      <c r="U372">
        <v>0</v>
      </c>
      <c r="V372">
        <v>210</v>
      </c>
      <c r="W372" t="s">
        <v>42</v>
      </c>
      <c r="X372" s="6" t="s">
        <v>615</v>
      </c>
    </row>
    <row r="373" spans="1:24" hidden="1" x14ac:dyDescent="0.25">
      <c r="A373" t="s">
        <v>658</v>
      </c>
      <c r="B373" t="s">
        <v>531</v>
      </c>
      <c r="C373" t="s">
        <v>34</v>
      </c>
      <c r="D373">
        <v>75</v>
      </c>
      <c r="E373" t="s">
        <v>659</v>
      </c>
      <c r="F373" t="s">
        <v>88</v>
      </c>
      <c r="G373" t="s">
        <v>26</v>
      </c>
      <c r="H373" t="str">
        <f>INDEX(Table1[Diagnosis],MATCH(I373,'codeand diagnosis'!$A$2:$A$11,0))</f>
        <v>Cosmetic procedure</v>
      </c>
      <c r="I373" t="s">
        <v>55</v>
      </c>
      <c r="J373" t="str">
        <f>INDEX(Table1[ICD-10 Code],MATCH(Table2[[#This Row],[Treatment]],Table1[Treatment Type],0))</f>
        <v>Z41.1</v>
      </c>
      <c r="K373" t="s">
        <v>28</v>
      </c>
      <c r="L373" t="s">
        <v>38</v>
      </c>
      <c r="M373" t="s">
        <v>29</v>
      </c>
      <c r="N373">
        <f>Table2[[#This Row],[Total Paid]]+Table2[[#This Row],[Due]]</f>
        <v>1660</v>
      </c>
      <c r="O373">
        <v>1660</v>
      </c>
      <c r="P373">
        <v>0</v>
      </c>
      <c r="Q373">
        <v>0</v>
      </c>
      <c r="R373">
        <v>0</v>
      </c>
      <c r="S373">
        <v>0</v>
      </c>
      <c r="T373">
        <v>1660</v>
      </c>
      <c r="U373">
        <v>0</v>
      </c>
      <c r="V373">
        <v>1660</v>
      </c>
      <c r="W373" t="s">
        <v>42</v>
      </c>
      <c r="X373" s="6" t="s">
        <v>615</v>
      </c>
    </row>
    <row r="374" spans="1:24" hidden="1" x14ac:dyDescent="0.25">
      <c r="A374" t="s">
        <v>660</v>
      </c>
      <c r="B374" t="s">
        <v>182</v>
      </c>
      <c r="C374" t="s">
        <v>24</v>
      </c>
      <c r="D374">
        <v>12</v>
      </c>
      <c r="E374" t="s">
        <v>659</v>
      </c>
      <c r="F374" t="s">
        <v>88</v>
      </c>
      <c r="G374" t="s">
        <v>26</v>
      </c>
      <c r="H374" t="str">
        <f>INDEX(Table1[Diagnosis],MATCH(I374,'codeand diagnosis'!$A$2:$A$11,0))</f>
        <v>Dental examination</v>
      </c>
      <c r="I374" t="s">
        <v>45</v>
      </c>
      <c r="J374" t="str">
        <f>INDEX(Table1[ICD-10 Code],MATCH(Table2[[#This Row],[Treatment]],Table1[Treatment Type],0))</f>
        <v>Z01.2</v>
      </c>
      <c r="K374" t="s">
        <v>28</v>
      </c>
      <c r="L374" t="s">
        <v>28</v>
      </c>
      <c r="M374" t="s">
        <v>29</v>
      </c>
      <c r="N374">
        <f>Table2[[#This Row],[Total Paid]]+Table2[[#This Row],[Due]]</f>
        <v>200</v>
      </c>
      <c r="O374">
        <v>0</v>
      </c>
      <c r="P374">
        <v>0</v>
      </c>
      <c r="Q374">
        <v>200</v>
      </c>
      <c r="R374">
        <v>0</v>
      </c>
      <c r="S374">
        <v>0</v>
      </c>
      <c r="T374">
        <v>200</v>
      </c>
      <c r="U374">
        <v>0</v>
      </c>
      <c r="V374">
        <v>200</v>
      </c>
      <c r="W374" t="s">
        <v>47</v>
      </c>
      <c r="X374" s="6" t="s">
        <v>615</v>
      </c>
    </row>
    <row r="375" spans="1:24" x14ac:dyDescent="0.25">
      <c r="A375" t="s">
        <v>661</v>
      </c>
      <c r="B375" t="s">
        <v>118</v>
      </c>
      <c r="C375" t="s">
        <v>24</v>
      </c>
      <c r="D375">
        <v>5</v>
      </c>
      <c r="E375" t="s">
        <v>662</v>
      </c>
      <c r="F375" t="s">
        <v>50</v>
      </c>
      <c r="G375" t="s">
        <v>26</v>
      </c>
      <c r="H375" t="str">
        <f>INDEX(Table1[Diagnosis],MATCH(I375,'codeand diagnosis'!$A$2:$A$11,0))</f>
        <v>Dental examination</v>
      </c>
      <c r="I375" t="s">
        <v>45</v>
      </c>
      <c r="J375" t="str">
        <f>INDEX(Table1[ICD-10 Code],MATCH(Table2[[#This Row],[Treatment]],Table1[Treatment Type],0))</f>
        <v>Z01.2</v>
      </c>
      <c r="K375" t="s">
        <v>28</v>
      </c>
      <c r="L375" t="s">
        <v>28</v>
      </c>
      <c r="M375" t="s">
        <v>29</v>
      </c>
      <c r="N375">
        <f>Table2[[#This Row],[Total Paid]]+Table2[[#This Row],[Due]]</f>
        <v>120</v>
      </c>
      <c r="O375">
        <v>0</v>
      </c>
      <c r="P375">
        <v>0</v>
      </c>
      <c r="Q375">
        <v>200</v>
      </c>
      <c r="R375">
        <v>0</v>
      </c>
      <c r="S375">
        <v>80</v>
      </c>
      <c r="T375">
        <v>120</v>
      </c>
      <c r="U375">
        <v>0</v>
      </c>
      <c r="V375">
        <v>120</v>
      </c>
      <c r="W375" t="s">
        <v>51</v>
      </c>
      <c r="X375" s="6" t="s">
        <v>615</v>
      </c>
    </row>
    <row r="376" spans="1:24" hidden="1" x14ac:dyDescent="0.25">
      <c r="A376" t="s">
        <v>663</v>
      </c>
      <c r="B376" t="s">
        <v>369</v>
      </c>
      <c r="C376" t="s">
        <v>24</v>
      </c>
      <c r="D376">
        <v>71</v>
      </c>
      <c r="E376" t="s">
        <v>662</v>
      </c>
      <c r="F376" t="s">
        <v>104</v>
      </c>
      <c r="G376" t="s">
        <v>36</v>
      </c>
      <c r="H376" t="str">
        <f>INDEX(Table1[Diagnosis],MATCH(I376,'codeand diagnosis'!$A$2:$A$11,0))</f>
        <v>Dental examination with radiology</v>
      </c>
      <c r="I376" t="s">
        <v>37</v>
      </c>
      <c r="J376" t="str">
        <f>INDEX(Table1[ICD-10 Code],MATCH(Table2[[#This Row],[Treatment]],Table1[Treatment Type],0))</f>
        <v>Z01.2</v>
      </c>
      <c r="K376" t="s">
        <v>28</v>
      </c>
      <c r="L376" t="s">
        <v>38</v>
      </c>
      <c r="M376" t="s">
        <v>46</v>
      </c>
      <c r="N376">
        <f>Table2[[#This Row],[Total Paid]]+Table2[[#This Row],[Due]]</f>
        <v>350</v>
      </c>
      <c r="O376">
        <v>0</v>
      </c>
      <c r="P376">
        <v>150</v>
      </c>
      <c r="Q376">
        <v>200</v>
      </c>
      <c r="R376">
        <v>0</v>
      </c>
      <c r="S376">
        <v>0</v>
      </c>
      <c r="T376">
        <v>350</v>
      </c>
      <c r="U376">
        <v>0</v>
      </c>
      <c r="V376">
        <v>350</v>
      </c>
      <c r="W376" t="s">
        <v>51</v>
      </c>
      <c r="X376" s="6" t="s">
        <v>615</v>
      </c>
    </row>
    <row r="377" spans="1:24" hidden="1" x14ac:dyDescent="0.25">
      <c r="A377" t="s">
        <v>664</v>
      </c>
      <c r="B377" t="s">
        <v>314</v>
      </c>
      <c r="C377" t="s">
        <v>24</v>
      </c>
      <c r="D377">
        <v>11</v>
      </c>
      <c r="E377" t="s">
        <v>665</v>
      </c>
      <c r="F377" t="s">
        <v>50</v>
      </c>
      <c r="G377" t="s">
        <v>36</v>
      </c>
      <c r="H377" t="str">
        <f>INDEX(Table1[Diagnosis],MATCH(I377,'codeand diagnosis'!$A$2:$A$11,0))</f>
        <v>Dental examination</v>
      </c>
      <c r="I377" t="s">
        <v>45</v>
      </c>
      <c r="J377" t="str">
        <f>INDEX(Table1[ICD-10 Code],MATCH(Table2[[#This Row],[Treatment]],Table1[Treatment Type],0))</f>
        <v>Z01.2</v>
      </c>
      <c r="K377" t="s">
        <v>28</v>
      </c>
      <c r="L377" t="s">
        <v>28</v>
      </c>
      <c r="M377" t="s">
        <v>46</v>
      </c>
      <c r="N377">
        <f>Table2[[#This Row],[Total Paid]]+Table2[[#This Row],[Due]]</f>
        <v>120</v>
      </c>
      <c r="O377">
        <v>0</v>
      </c>
      <c r="P377">
        <v>0</v>
      </c>
      <c r="Q377">
        <v>200</v>
      </c>
      <c r="R377">
        <v>0</v>
      </c>
      <c r="S377">
        <v>80</v>
      </c>
      <c r="T377">
        <v>120</v>
      </c>
      <c r="U377">
        <v>0</v>
      </c>
      <c r="V377">
        <v>120</v>
      </c>
      <c r="W377" t="s">
        <v>47</v>
      </c>
      <c r="X377" s="6" t="s">
        <v>615</v>
      </c>
    </row>
    <row r="378" spans="1:24" hidden="1" x14ac:dyDescent="0.25">
      <c r="A378" t="s">
        <v>666</v>
      </c>
      <c r="B378" t="s">
        <v>398</v>
      </c>
      <c r="C378" t="s">
        <v>34</v>
      </c>
      <c r="D378">
        <v>69</v>
      </c>
      <c r="E378" t="s">
        <v>667</v>
      </c>
      <c r="F378" t="s">
        <v>88</v>
      </c>
      <c r="G378" t="s">
        <v>26</v>
      </c>
      <c r="H378" t="str">
        <f>INDEX(Table1[Diagnosis],MATCH(I378,'codeand diagnosis'!$A$2:$A$11,0))</f>
        <v>Dental examination</v>
      </c>
      <c r="I378" t="s">
        <v>45</v>
      </c>
      <c r="J378" t="str">
        <f>INDEX(Table1[ICD-10 Code],MATCH(Table2[[#This Row],[Treatment]],Table1[Treatment Type],0))</f>
        <v>Z01.2</v>
      </c>
      <c r="K378" t="s">
        <v>28</v>
      </c>
      <c r="L378" t="s">
        <v>28</v>
      </c>
      <c r="M378" t="s">
        <v>29</v>
      </c>
      <c r="N378">
        <f>Table2[[#This Row],[Total Paid]]+Table2[[#This Row],[Due]]</f>
        <v>200</v>
      </c>
      <c r="O378">
        <v>0</v>
      </c>
      <c r="P378">
        <v>0</v>
      </c>
      <c r="Q378">
        <v>200</v>
      </c>
      <c r="R378">
        <v>0</v>
      </c>
      <c r="S378">
        <v>0</v>
      </c>
      <c r="T378">
        <v>200</v>
      </c>
      <c r="U378">
        <v>0</v>
      </c>
      <c r="V378">
        <v>200</v>
      </c>
      <c r="W378" t="s">
        <v>51</v>
      </c>
      <c r="X378" s="6" t="s">
        <v>615</v>
      </c>
    </row>
    <row r="379" spans="1:24" hidden="1" x14ac:dyDescent="0.25">
      <c r="A379" t="s">
        <v>668</v>
      </c>
      <c r="B379" t="s">
        <v>211</v>
      </c>
      <c r="C379" t="s">
        <v>34</v>
      </c>
      <c r="D379">
        <v>9</v>
      </c>
      <c r="E379" t="s">
        <v>667</v>
      </c>
      <c r="F379" t="s">
        <v>35</v>
      </c>
      <c r="G379" t="s">
        <v>36</v>
      </c>
      <c r="H379" t="str">
        <f>INDEX(Table1[Diagnosis],MATCH(I379,'codeand diagnosis'!$A$2:$A$11,0))</f>
        <v>Dental examination with radiology</v>
      </c>
      <c r="I379" t="s">
        <v>37</v>
      </c>
      <c r="J379" t="str">
        <f>INDEX(Table1[ICD-10 Code],MATCH(Table2[[#This Row],[Treatment]],Table1[Treatment Type],0))</f>
        <v>Z01.2</v>
      </c>
      <c r="K379" t="s">
        <v>28</v>
      </c>
      <c r="L379" t="s">
        <v>38</v>
      </c>
      <c r="M379" t="s">
        <v>29</v>
      </c>
      <c r="N379">
        <f>Table2[[#This Row],[Total Paid]]+Table2[[#This Row],[Due]]</f>
        <v>210</v>
      </c>
      <c r="O379">
        <v>0</v>
      </c>
      <c r="P379">
        <v>150</v>
      </c>
      <c r="Q379">
        <v>200</v>
      </c>
      <c r="R379">
        <v>0</v>
      </c>
      <c r="S379">
        <v>140</v>
      </c>
      <c r="T379">
        <v>210</v>
      </c>
      <c r="U379">
        <v>0</v>
      </c>
      <c r="V379">
        <v>210</v>
      </c>
      <c r="W379" t="s">
        <v>47</v>
      </c>
      <c r="X379" s="6" t="s">
        <v>615</v>
      </c>
    </row>
    <row r="380" spans="1:24" hidden="1" x14ac:dyDescent="0.25">
      <c r="A380" t="s">
        <v>669</v>
      </c>
      <c r="B380" t="s">
        <v>361</v>
      </c>
      <c r="C380" t="s">
        <v>34</v>
      </c>
      <c r="D380">
        <v>51</v>
      </c>
      <c r="E380" t="s">
        <v>670</v>
      </c>
      <c r="F380" t="s">
        <v>35</v>
      </c>
      <c r="G380" t="s">
        <v>26</v>
      </c>
      <c r="H380" t="str">
        <f>INDEX(Table1[Diagnosis],MATCH(I380,'codeand diagnosis'!$A$2:$A$11,0))</f>
        <v>Dental examination with radiology</v>
      </c>
      <c r="I380" t="s">
        <v>37</v>
      </c>
      <c r="J380" t="str">
        <f>INDEX(Table1[ICD-10 Code],MATCH(Table2[[#This Row],[Treatment]],Table1[Treatment Type],0))</f>
        <v>Z01.2</v>
      </c>
      <c r="K380" t="s">
        <v>28</v>
      </c>
      <c r="L380" t="s">
        <v>38</v>
      </c>
      <c r="M380" t="s">
        <v>29</v>
      </c>
      <c r="N380">
        <f>Table2[[#This Row],[Total Paid]]+Table2[[#This Row],[Due]]</f>
        <v>210</v>
      </c>
      <c r="O380">
        <v>0</v>
      </c>
      <c r="P380">
        <v>150</v>
      </c>
      <c r="Q380">
        <v>200</v>
      </c>
      <c r="R380">
        <v>0</v>
      </c>
      <c r="S380">
        <v>140</v>
      </c>
      <c r="T380">
        <v>210</v>
      </c>
      <c r="U380">
        <v>0</v>
      </c>
      <c r="V380">
        <v>210</v>
      </c>
      <c r="W380" t="s">
        <v>30</v>
      </c>
      <c r="X380" s="6" t="s">
        <v>615</v>
      </c>
    </row>
    <row r="381" spans="1:24" hidden="1" x14ac:dyDescent="0.25">
      <c r="A381" t="s">
        <v>671</v>
      </c>
      <c r="B381" t="s">
        <v>118</v>
      </c>
      <c r="C381" t="s">
        <v>24</v>
      </c>
      <c r="D381">
        <v>33</v>
      </c>
      <c r="E381" t="s">
        <v>670</v>
      </c>
      <c r="F381" t="s">
        <v>60</v>
      </c>
      <c r="G381" t="s">
        <v>26</v>
      </c>
      <c r="H381" t="str">
        <f>INDEX(Table1[Diagnosis],MATCH(I381,'codeand diagnosis'!$A$2:$A$11,0))</f>
        <v>Dental examination</v>
      </c>
      <c r="I381" t="s">
        <v>45</v>
      </c>
      <c r="J381" t="str">
        <f>INDEX(Table1[ICD-10 Code],MATCH(Table2[[#This Row],[Treatment]],Table1[Treatment Type],0))</f>
        <v>Z01.2</v>
      </c>
      <c r="K381" t="s">
        <v>28</v>
      </c>
      <c r="L381" t="s">
        <v>28</v>
      </c>
      <c r="M381" t="s">
        <v>29</v>
      </c>
      <c r="N381">
        <f>Table2[[#This Row],[Total Paid]]+Table2[[#This Row],[Due]]</f>
        <v>200</v>
      </c>
      <c r="O381">
        <v>0</v>
      </c>
      <c r="P381">
        <v>0</v>
      </c>
      <c r="Q381">
        <v>200</v>
      </c>
      <c r="R381">
        <v>0</v>
      </c>
      <c r="S381">
        <v>0</v>
      </c>
      <c r="T381">
        <v>200</v>
      </c>
      <c r="U381">
        <v>0</v>
      </c>
      <c r="V381">
        <v>200</v>
      </c>
      <c r="W381" t="s">
        <v>42</v>
      </c>
      <c r="X381" s="6" t="s">
        <v>615</v>
      </c>
    </row>
    <row r="382" spans="1:24" hidden="1" x14ac:dyDescent="0.25">
      <c r="A382" t="s">
        <v>672</v>
      </c>
      <c r="B382" t="s">
        <v>98</v>
      </c>
      <c r="C382" t="s">
        <v>24</v>
      </c>
      <c r="D382">
        <v>65</v>
      </c>
      <c r="E382" s="1">
        <v>44937</v>
      </c>
      <c r="F382" t="s">
        <v>88</v>
      </c>
      <c r="G382" t="s">
        <v>26</v>
      </c>
      <c r="H382" t="str">
        <f>INDEX(Table1[Diagnosis],MATCH(I382,'codeand diagnosis'!$A$2:$A$11,0))</f>
        <v>Dental examination with radiology</v>
      </c>
      <c r="I382" t="s">
        <v>37</v>
      </c>
      <c r="J382" t="str">
        <f>INDEX(Table1[ICD-10 Code],MATCH(Table2[[#This Row],[Treatment]],Table1[Treatment Type],0))</f>
        <v>Z01.2</v>
      </c>
      <c r="K382" t="s">
        <v>28</v>
      </c>
      <c r="L382" t="s">
        <v>38</v>
      </c>
      <c r="M382" t="s">
        <v>29</v>
      </c>
      <c r="N382">
        <f>Table2[[#This Row],[Total Paid]]+Table2[[#This Row],[Due]]</f>
        <v>350</v>
      </c>
      <c r="O382">
        <v>0</v>
      </c>
      <c r="P382">
        <v>150</v>
      </c>
      <c r="Q382">
        <v>200</v>
      </c>
      <c r="R382">
        <v>0</v>
      </c>
      <c r="S382">
        <v>0</v>
      </c>
      <c r="T382">
        <v>350</v>
      </c>
      <c r="U382">
        <v>0</v>
      </c>
      <c r="V382">
        <v>350</v>
      </c>
      <c r="W382" t="s">
        <v>30</v>
      </c>
      <c r="X382" s="6" t="s">
        <v>673</v>
      </c>
    </row>
    <row r="383" spans="1:24" hidden="1" x14ac:dyDescent="0.25">
      <c r="A383" t="s">
        <v>674</v>
      </c>
      <c r="B383" t="s">
        <v>197</v>
      </c>
      <c r="C383" t="s">
        <v>24</v>
      </c>
      <c r="D383">
        <v>22</v>
      </c>
      <c r="E383" s="1">
        <v>44968</v>
      </c>
      <c r="F383" t="s">
        <v>92</v>
      </c>
      <c r="G383" t="s">
        <v>26</v>
      </c>
      <c r="H383" t="str">
        <f>INDEX(Table1[Diagnosis],MATCH(I383,'codeand diagnosis'!$A$2:$A$11,0))</f>
        <v>Dental examination with radiology</v>
      </c>
      <c r="I383" t="s">
        <v>37</v>
      </c>
      <c r="J383" t="str">
        <f>INDEX(Table1[ICD-10 Code],MATCH(Table2[[#This Row],[Treatment]],Table1[Treatment Type],0))</f>
        <v>Z01.2</v>
      </c>
      <c r="K383" t="s">
        <v>28</v>
      </c>
      <c r="L383" t="s">
        <v>38</v>
      </c>
      <c r="M383" t="s">
        <v>29</v>
      </c>
      <c r="N383">
        <f>Table2[[#This Row],[Total Paid]]+Table2[[#This Row],[Due]]</f>
        <v>350</v>
      </c>
      <c r="O383">
        <v>0</v>
      </c>
      <c r="P383">
        <v>150</v>
      </c>
      <c r="Q383">
        <v>200</v>
      </c>
      <c r="R383">
        <v>0</v>
      </c>
      <c r="S383">
        <v>0</v>
      </c>
      <c r="T383">
        <v>350</v>
      </c>
      <c r="U383">
        <v>0</v>
      </c>
      <c r="V383">
        <v>350</v>
      </c>
      <c r="W383" t="s">
        <v>47</v>
      </c>
      <c r="X383" s="6" t="s">
        <v>673</v>
      </c>
    </row>
    <row r="384" spans="1:24" hidden="1" x14ac:dyDescent="0.25">
      <c r="A384" t="s">
        <v>675</v>
      </c>
      <c r="B384" t="s">
        <v>156</v>
      </c>
      <c r="C384" t="s">
        <v>24</v>
      </c>
      <c r="D384">
        <v>51</v>
      </c>
      <c r="E384" s="1">
        <v>44996</v>
      </c>
      <c r="F384" t="s">
        <v>35</v>
      </c>
      <c r="G384" t="s">
        <v>26</v>
      </c>
      <c r="H384" t="str">
        <f>INDEX(Table1[Diagnosis],MATCH(I384,'codeand diagnosis'!$A$2:$A$11,0))</f>
        <v>Malocclusion</v>
      </c>
      <c r="I384" t="s">
        <v>89</v>
      </c>
      <c r="J384" t="str">
        <f>INDEX(Table1[ICD-10 Code],MATCH(Table2[[#This Row],[Treatment]],Table1[Treatment Type],0))</f>
        <v>K07.4</v>
      </c>
      <c r="K384" t="s">
        <v>28</v>
      </c>
      <c r="L384" t="s">
        <v>28</v>
      </c>
      <c r="M384" t="s">
        <v>61</v>
      </c>
      <c r="N384">
        <f>Table2[[#This Row],[Total Paid]]+Table2[[#This Row],[Due]]</f>
        <v>14967</v>
      </c>
      <c r="O384">
        <v>14967</v>
      </c>
      <c r="P384">
        <v>0</v>
      </c>
      <c r="Q384">
        <v>0</v>
      </c>
      <c r="R384">
        <v>3670</v>
      </c>
      <c r="S384">
        <v>0</v>
      </c>
      <c r="T384">
        <v>14967</v>
      </c>
      <c r="U384">
        <v>0</v>
      </c>
      <c r="V384">
        <v>11297</v>
      </c>
      <c r="W384" t="s">
        <v>51</v>
      </c>
      <c r="X384" s="6" t="s">
        <v>673</v>
      </c>
    </row>
    <row r="385" spans="1:24" hidden="1" x14ac:dyDescent="0.25">
      <c r="A385" t="s">
        <v>676</v>
      </c>
      <c r="B385" t="s">
        <v>156</v>
      </c>
      <c r="C385" t="s">
        <v>24</v>
      </c>
      <c r="D385">
        <v>47</v>
      </c>
      <c r="E385" s="1">
        <v>45057</v>
      </c>
      <c r="F385" t="s">
        <v>50</v>
      </c>
      <c r="G385" t="s">
        <v>36</v>
      </c>
      <c r="H385" t="str">
        <f>INDEX(Table1[Diagnosis],MATCH(I385,'codeand diagnosis'!$A$2:$A$11,0))</f>
        <v>Retained dental root</v>
      </c>
      <c r="I385" t="s">
        <v>145</v>
      </c>
      <c r="J385" t="str">
        <f>INDEX(Table1[ICD-10 Code],MATCH(Table2[[#This Row],[Treatment]],Table1[Treatment Type],0))</f>
        <v>K08.3</v>
      </c>
      <c r="K385" t="s">
        <v>28</v>
      </c>
      <c r="L385" t="s">
        <v>28</v>
      </c>
      <c r="M385" t="s">
        <v>29</v>
      </c>
      <c r="N385">
        <f>Table2[[#This Row],[Total Paid]]+Table2[[#This Row],[Due]]</f>
        <v>3247</v>
      </c>
      <c r="O385">
        <v>3447</v>
      </c>
      <c r="P385">
        <v>0</v>
      </c>
      <c r="Q385">
        <v>0</v>
      </c>
      <c r="R385">
        <v>1260</v>
      </c>
      <c r="S385">
        <v>200</v>
      </c>
      <c r="T385">
        <v>3023</v>
      </c>
      <c r="U385">
        <v>224</v>
      </c>
      <c r="V385">
        <v>1763</v>
      </c>
      <c r="W385" t="s">
        <v>51</v>
      </c>
      <c r="X385" s="6" t="s">
        <v>673</v>
      </c>
    </row>
    <row r="386" spans="1:24" hidden="1" x14ac:dyDescent="0.25">
      <c r="A386" t="s">
        <v>677</v>
      </c>
      <c r="B386" t="s">
        <v>211</v>
      </c>
      <c r="C386" t="s">
        <v>34</v>
      </c>
      <c r="D386">
        <v>52</v>
      </c>
      <c r="E386" s="1">
        <v>45088</v>
      </c>
      <c r="F386" t="s">
        <v>132</v>
      </c>
      <c r="G386" t="s">
        <v>36</v>
      </c>
      <c r="H386" t="str">
        <f>INDEX(Table1[Diagnosis],MATCH(I386,'codeand diagnosis'!$A$2:$A$11,0))</f>
        <v>Loss of teeth</v>
      </c>
      <c r="I386" t="s">
        <v>68</v>
      </c>
      <c r="J386" t="str">
        <f>INDEX(Table1[ICD-10 Code],MATCH(Table2[[#This Row],[Treatment]],Table1[Treatment Type],0))</f>
        <v>K08.1</v>
      </c>
      <c r="K386" t="s">
        <v>28</v>
      </c>
      <c r="L386" t="s">
        <v>38</v>
      </c>
      <c r="M386" t="s">
        <v>29</v>
      </c>
      <c r="N386">
        <f>Table2[[#This Row],[Total Paid]]+Table2[[#This Row],[Due]]</f>
        <v>522</v>
      </c>
      <c r="O386">
        <v>870</v>
      </c>
      <c r="P386">
        <v>0</v>
      </c>
      <c r="Q386">
        <v>0</v>
      </c>
      <c r="R386">
        <v>0</v>
      </c>
      <c r="S386">
        <v>348</v>
      </c>
      <c r="T386">
        <v>522</v>
      </c>
      <c r="U386">
        <v>0</v>
      </c>
      <c r="V386">
        <v>522</v>
      </c>
      <c r="W386" t="s">
        <v>51</v>
      </c>
      <c r="X386" s="6" t="s">
        <v>673</v>
      </c>
    </row>
    <row r="387" spans="1:24" hidden="1" x14ac:dyDescent="0.25">
      <c r="A387" t="s">
        <v>678</v>
      </c>
      <c r="B387" t="s">
        <v>156</v>
      </c>
      <c r="C387" t="s">
        <v>24</v>
      </c>
      <c r="D387">
        <v>32</v>
      </c>
      <c r="E387" s="1">
        <v>45088</v>
      </c>
      <c r="F387" t="s">
        <v>50</v>
      </c>
      <c r="G387" t="s">
        <v>26</v>
      </c>
      <c r="H387" t="str">
        <f>INDEX(Table1[Diagnosis],MATCH(I387,'codeand diagnosis'!$A$2:$A$11,0))</f>
        <v>Dental examination with radiology</v>
      </c>
      <c r="I387" t="s">
        <v>37</v>
      </c>
      <c r="J387" t="str">
        <f>INDEX(Table1[ICD-10 Code],MATCH(Table2[[#This Row],[Treatment]],Table1[Treatment Type],0))</f>
        <v>Z01.2</v>
      </c>
      <c r="K387" t="s">
        <v>28</v>
      </c>
      <c r="L387" t="s">
        <v>38</v>
      </c>
      <c r="M387" t="s">
        <v>29</v>
      </c>
      <c r="N387">
        <f>Table2[[#This Row],[Total Paid]]+Table2[[#This Row],[Due]]</f>
        <v>350</v>
      </c>
      <c r="O387">
        <v>0</v>
      </c>
      <c r="P387">
        <v>150</v>
      </c>
      <c r="Q387">
        <v>200</v>
      </c>
      <c r="R387">
        <v>0</v>
      </c>
      <c r="S387">
        <v>0</v>
      </c>
      <c r="T387">
        <v>350</v>
      </c>
      <c r="U387">
        <v>0</v>
      </c>
      <c r="V387">
        <v>350</v>
      </c>
      <c r="W387" t="s">
        <v>42</v>
      </c>
      <c r="X387" s="6" t="s">
        <v>673</v>
      </c>
    </row>
    <row r="388" spans="1:24" hidden="1" x14ac:dyDescent="0.25">
      <c r="A388" t="s">
        <v>679</v>
      </c>
      <c r="B388" t="s">
        <v>447</v>
      </c>
      <c r="C388" t="s">
        <v>24</v>
      </c>
      <c r="D388">
        <v>17</v>
      </c>
      <c r="E388" s="1">
        <v>45118</v>
      </c>
      <c r="F388" t="s">
        <v>60</v>
      </c>
      <c r="G388" t="s">
        <v>26</v>
      </c>
      <c r="H388" t="str">
        <f>INDEX(Table1[Diagnosis],MATCH(I388,'codeand diagnosis'!$A$2:$A$11,0))</f>
        <v>Dental examination with radiology</v>
      </c>
      <c r="I388" t="s">
        <v>37</v>
      </c>
      <c r="J388" t="str">
        <f>INDEX(Table1[ICD-10 Code],MATCH(Table2[[#This Row],[Treatment]],Table1[Treatment Type],0))</f>
        <v>Z01.2</v>
      </c>
      <c r="K388" t="s">
        <v>28</v>
      </c>
      <c r="L388" t="s">
        <v>38</v>
      </c>
      <c r="M388" t="s">
        <v>29</v>
      </c>
      <c r="N388">
        <f>Table2[[#This Row],[Total Paid]]+Table2[[#This Row],[Due]]</f>
        <v>210</v>
      </c>
      <c r="O388">
        <v>0</v>
      </c>
      <c r="P388">
        <v>150</v>
      </c>
      <c r="Q388">
        <v>200</v>
      </c>
      <c r="R388">
        <v>0</v>
      </c>
      <c r="S388">
        <v>140</v>
      </c>
      <c r="T388">
        <v>210</v>
      </c>
      <c r="U388">
        <v>0</v>
      </c>
      <c r="V388">
        <v>210</v>
      </c>
      <c r="W388" t="s">
        <v>51</v>
      </c>
      <c r="X388" s="6" t="s">
        <v>673</v>
      </c>
    </row>
    <row r="389" spans="1:24" hidden="1" x14ac:dyDescent="0.25">
      <c r="A389" t="s">
        <v>680</v>
      </c>
      <c r="B389" t="s">
        <v>369</v>
      </c>
      <c r="C389" t="s">
        <v>24</v>
      </c>
      <c r="D389">
        <v>55</v>
      </c>
      <c r="E389" s="1">
        <v>45118</v>
      </c>
      <c r="F389" t="s">
        <v>88</v>
      </c>
      <c r="G389" t="s">
        <v>26</v>
      </c>
      <c r="H389" t="str">
        <f>INDEX(Table1[Diagnosis],MATCH(I389,'codeand diagnosis'!$A$2:$A$11,0))</f>
        <v>Gingivitis</v>
      </c>
      <c r="I389" t="s">
        <v>27</v>
      </c>
      <c r="J389" t="str">
        <f>INDEX(Table1[ICD-10 Code],MATCH(Table2[[#This Row],[Treatment]],Table1[Treatment Type],0))</f>
        <v>K05.10</v>
      </c>
      <c r="K389" t="s">
        <v>28</v>
      </c>
      <c r="L389" t="s">
        <v>38</v>
      </c>
      <c r="M389" t="s">
        <v>29</v>
      </c>
      <c r="N389">
        <f>Table2[[#This Row],[Total Paid]]+Table2[[#This Row],[Due]]</f>
        <v>691</v>
      </c>
      <c r="O389">
        <v>691</v>
      </c>
      <c r="P389">
        <v>0</v>
      </c>
      <c r="Q389">
        <v>0</v>
      </c>
      <c r="R389">
        <v>0</v>
      </c>
      <c r="S389">
        <v>0</v>
      </c>
      <c r="T389">
        <v>691</v>
      </c>
      <c r="U389">
        <v>0</v>
      </c>
      <c r="V389">
        <v>691</v>
      </c>
      <c r="W389" t="s">
        <v>42</v>
      </c>
      <c r="X389" s="6" t="s">
        <v>673</v>
      </c>
    </row>
    <row r="390" spans="1:24" hidden="1" x14ac:dyDescent="0.25">
      <c r="A390" t="s">
        <v>681</v>
      </c>
      <c r="B390" t="s">
        <v>207</v>
      </c>
      <c r="C390" t="s">
        <v>34</v>
      </c>
      <c r="D390">
        <v>38</v>
      </c>
      <c r="E390" s="1">
        <v>45149</v>
      </c>
      <c r="F390" t="s">
        <v>50</v>
      </c>
      <c r="G390" t="s">
        <v>26</v>
      </c>
      <c r="H390" t="str">
        <f>INDEX(Table1[Diagnosis],MATCH(I390,'codeand diagnosis'!$A$2:$A$11,0))</f>
        <v>Dental examination with radiology</v>
      </c>
      <c r="I390" t="s">
        <v>37</v>
      </c>
      <c r="J390" t="str">
        <f>INDEX(Table1[ICD-10 Code],MATCH(Table2[[#This Row],[Treatment]],Table1[Treatment Type],0))</f>
        <v>Z01.2</v>
      </c>
      <c r="K390" t="s">
        <v>28</v>
      </c>
      <c r="L390" t="s">
        <v>38</v>
      </c>
      <c r="M390" t="s">
        <v>29</v>
      </c>
      <c r="N390">
        <f>Table2[[#This Row],[Total Paid]]+Table2[[#This Row],[Due]]</f>
        <v>350</v>
      </c>
      <c r="O390">
        <v>0</v>
      </c>
      <c r="P390">
        <v>150</v>
      </c>
      <c r="Q390">
        <v>200</v>
      </c>
      <c r="R390">
        <v>0</v>
      </c>
      <c r="S390">
        <v>0</v>
      </c>
      <c r="T390">
        <v>350</v>
      </c>
      <c r="U390">
        <v>0</v>
      </c>
      <c r="V390">
        <v>350</v>
      </c>
      <c r="W390" t="s">
        <v>42</v>
      </c>
      <c r="X390" s="6" t="s">
        <v>673</v>
      </c>
    </row>
    <row r="391" spans="1:24" hidden="1" x14ac:dyDescent="0.25">
      <c r="A391" t="s">
        <v>682</v>
      </c>
      <c r="B391" t="s">
        <v>156</v>
      </c>
      <c r="C391" t="s">
        <v>24</v>
      </c>
      <c r="D391">
        <v>44</v>
      </c>
      <c r="E391" s="1">
        <v>45149</v>
      </c>
      <c r="F391" t="s">
        <v>50</v>
      </c>
      <c r="G391" t="s">
        <v>26</v>
      </c>
      <c r="H391" t="str">
        <f>INDEX(Table1[Diagnosis],MATCH(I391,'codeand diagnosis'!$A$2:$A$11,0))</f>
        <v>Dental examination</v>
      </c>
      <c r="I391" t="s">
        <v>45</v>
      </c>
      <c r="J391" t="str">
        <f>INDEX(Table1[ICD-10 Code],MATCH(Table2[[#This Row],[Treatment]],Table1[Treatment Type],0))</f>
        <v>Z01.2</v>
      </c>
      <c r="K391" t="s">
        <v>28</v>
      </c>
      <c r="L391" t="s">
        <v>28</v>
      </c>
      <c r="M391" t="s">
        <v>29</v>
      </c>
      <c r="N391">
        <f>Table2[[#This Row],[Total Paid]]+Table2[[#This Row],[Due]]</f>
        <v>120</v>
      </c>
      <c r="O391">
        <v>0</v>
      </c>
      <c r="P391">
        <v>0</v>
      </c>
      <c r="Q391">
        <v>200</v>
      </c>
      <c r="R391">
        <v>0</v>
      </c>
      <c r="S391">
        <v>80</v>
      </c>
      <c r="T391">
        <v>120</v>
      </c>
      <c r="U391">
        <v>0</v>
      </c>
      <c r="V391">
        <v>120</v>
      </c>
      <c r="W391" t="s">
        <v>47</v>
      </c>
      <c r="X391" s="6" t="s">
        <v>673</v>
      </c>
    </row>
    <row r="392" spans="1:24" hidden="1" x14ac:dyDescent="0.25">
      <c r="A392" t="s">
        <v>683</v>
      </c>
      <c r="B392" t="s">
        <v>59</v>
      </c>
      <c r="C392" t="s">
        <v>34</v>
      </c>
      <c r="D392">
        <v>8</v>
      </c>
      <c r="E392" s="1">
        <v>45149</v>
      </c>
      <c r="F392" t="s">
        <v>35</v>
      </c>
      <c r="G392" t="s">
        <v>26</v>
      </c>
      <c r="H392" t="str">
        <f>INDEX(Table1[Diagnosis],MATCH(I392,'codeand diagnosis'!$A$2:$A$11,0))</f>
        <v>Cosmetic procedure</v>
      </c>
      <c r="I392" t="s">
        <v>55</v>
      </c>
      <c r="J392" t="str">
        <f>INDEX(Table1[ICD-10 Code],MATCH(Table2[[#This Row],[Treatment]],Table1[Treatment Type],0))</f>
        <v>Z41.1</v>
      </c>
      <c r="K392" t="s">
        <v>28</v>
      </c>
      <c r="L392" t="s">
        <v>38</v>
      </c>
      <c r="M392" t="s">
        <v>46</v>
      </c>
      <c r="N392">
        <f>Table2[[#This Row],[Total Paid]]+Table2[[#This Row],[Due]]</f>
        <v>1259</v>
      </c>
      <c r="O392">
        <v>1759</v>
      </c>
      <c r="P392">
        <v>0</v>
      </c>
      <c r="Q392">
        <v>0</v>
      </c>
      <c r="R392">
        <v>0</v>
      </c>
      <c r="S392">
        <v>500</v>
      </c>
      <c r="T392">
        <v>1259</v>
      </c>
      <c r="U392">
        <v>0</v>
      </c>
      <c r="V392">
        <v>1259</v>
      </c>
      <c r="W392" t="s">
        <v>42</v>
      </c>
      <c r="X392" s="6" t="s">
        <v>673</v>
      </c>
    </row>
    <row r="393" spans="1:24" hidden="1" x14ac:dyDescent="0.25">
      <c r="A393" t="s">
        <v>684</v>
      </c>
      <c r="B393" t="s">
        <v>414</v>
      </c>
      <c r="C393" t="s">
        <v>24</v>
      </c>
      <c r="D393">
        <v>12</v>
      </c>
      <c r="E393" s="1">
        <v>45180</v>
      </c>
      <c r="F393" t="s">
        <v>35</v>
      </c>
      <c r="G393" t="s">
        <v>26</v>
      </c>
      <c r="H393" t="str">
        <f>INDEX(Table1[Diagnosis],MATCH(I393,'codeand diagnosis'!$A$2:$A$11,0))</f>
        <v>Dental examination with radiology</v>
      </c>
      <c r="I393" t="s">
        <v>37</v>
      </c>
      <c r="J393" t="str">
        <f>INDEX(Table1[ICD-10 Code],MATCH(Table2[[#This Row],[Treatment]],Table1[Treatment Type],0))</f>
        <v>Z01.2</v>
      </c>
      <c r="K393" t="s">
        <v>28</v>
      </c>
      <c r="L393" t="s">
        <v>38</v>
      </c>
      <c r="M393" t="s">
        <v>29</v>
      </c>
      <c r="N393">
        <f>Table2[[#This Row],[Total Paid]]+Table2[[#This Row],[Due]]</f>
        <v>350</v>
      </c>
      <c r="O393">
        <v>0</v>
      </c>
      <c r="P393">
        <v>150</v>
      </c>
      <c r="Q393">
        <v>200</v>
      </c>
      <c r="R393">
        <v>0</v>
      </c>
      <c r="S393">
        <v>0</v>
      </c>
      <c r="T393">
        <v>350</v>
      </c>
      <c r="U393">
        <v>0</v>
      </c>
      <c r="V393">
        <v>350</v>
      </c>
      <c r="W393" t="s">
        <v>51</v>
      </c>
      <c r="X393" s="6" t="s">
        <v>673</v>
      </c>
    </row>
    <row r="394" spans="1:24" hidden="1" x14ac:dyDescent="0.25">
      <c r="A394" t="s">
        <v>685</v>
      </c>
      <c r="B394" t="s">
        <v>63</v>
      </c>
      <c r="C394" t="s">
        <v>24</v>
      </c>
      <c r="D394">
        <v>80</v>
      </c>
      <c r="E394" s="1">
        <v>45180</v>
      </c>
      <c r="F394" t="s">
        <v>35</v>
      </c>
      <c r="G394" t="s">
        <v>26</v>
      </c>
      <c r="H394" t="str">
        <f>INDEX(Table1[Diagnosis],MATCH(I394,'codeand diagnosis'!$A$2:$A$11,0))</f>
        <v>Dental examination with radiology</v>
      </c>
      <c r="I394" t="s">
        <v>37</v>
      </c>
      <c r="J394" t="str">
        <f>INDEX(Table1[ICD-10 Code],MATCH(Table2[[#This Row],[Treatment]],Table1[Treatment Type],0))</f>
        <v>Z01.2</v>
      </c>
      <c r="K394" t="s">
        <v>28</v>
      </c>
      <c r="L394" t="s">
        <v>38</v>
      </c>
      <c r="M394" t="s">
        <v>46</v>
      </c>
      <c r="N394">
        <f>Table2[[#This Row],[Total Paid]]+Table2[[#This Row],[Due]]</f>
        <v>210</v>
      </c>
      <c r="O394">
        <v>0</v>
      </c>
      <c r="P394">
        <v>150</v>
      </c>
      <c r="Q394">
        <v>200</v>
      </c>
      <c r="R394">
        <v>0</v>
      </c>
      <c r="S394">
        <v>140</v>
      </c>
      <c r="T394">
        <v>210</v>
      </c>
      <c r="U394">
        <v>0</v>
      </c>
      <c r="V394">
        <v>210</v>
      </c>
      <c r="W394" t="s">
        <v>42</v>
      </c>
      <c r="X394" s="6" t="s">
        <v>673</v>
      </c>
    </row>
    <row r="395" spans="1:24" hidden="1" x14ac:dyDescent="0.25">
      <c r="A395" t="s">
        <v>686</v>
      </c>
      <c r="B395" t="s">
        <v>77</v>
      </c>
      <c r="C395" t="s">
        <v>34</v>
      </c>
      <c r="D395">
        <v>12</v>
      </c>
      <c r="E395" s="1">
        <v>45180</v>
      </c>
      <c r="F395" t="s">
        <v>359</v>
      </c>
      <c r="G395" t="s">
        <v>26</v>
      </c>
      <c r="H395" t="str">
        <f>INDEX(Table1[Diagnosis],MATCH(I395,'codeand diagnosis'!$A$2:$A$11,0))</f>
        <v>Dental examination with radiology</v>
      </c>
      <c r="I395" t="s">
        <v>37</v>
      </c>
      <c r="J395" t="str">
        <f>INDEX(Table1[ICD-10 Code],MATCH(Table2[[#This Row],[Treatment]],Table1[Treatment Type],0))</f>
        <v>Z01.2</v>
      </c>
      <c r="K395" t="s">
        <v>28</v>
      </c>
      <c r="L395" t="s">
        <v>38</v>
      </c>
      <c r="M395" t="s">
        <v>29</v>
      </c>
      <c r="N395">
        <f>Table2[[#This Row],[Total Paid]]+Table2[[#This Row],[Due]]</f>
        <v>350</v>
      </c>
      <c r="O395">
        <v>0</v>
      </c>
      <c r="P395">
        <v>150</v>
      </c>
      <c r="Q395">
        <v>200</v>
      </c>
      <c r="R395">
        <v>0</v>
      </c>
      <c r="S395">
        <v>0</v>
      </c>
      <c r="T395">
        <v>350</v>
      </c>
      <c r="U395">
        <v>0</v>
      </c>
      <c r="V395">
        <v>350</v>
      </c>
      <c r="W395" t="s">
        <v>47</v>
      </c>
      <c r="X395" s="6" t="s">
        <v>673</v>
      </c>
    </row>
    <row r="396" spans="1:24" hidden="1" x14ac:dyDescent="0.25">
      <c r="A396" t="s">
        <v>687</v>
      </c>
      <c r="B396" t="s">
        <v>94</v>
      </c>
      <c r="C396" t="s">
        <v>24</v>
      </c>
      <c r="D396">
        <v>55</v>
      </c>
      <c r="E396" s="1">
        <v>45210</v>
      </c>
      <c r="F396" t="s">
        <v>35</v>
      </c>
      <c r="G396" t="s">
        <v>26</v>
      </c>
      <c r="H396" t="str">
        <f>INDEX(Table1[Diagnosis],MATCH(I396,'codeand diagnosis'!$A$2:$A$11,0))</f>
        <v>Dental examination</v>
      </c>
      <c r="I396" t="s">
        <v>45</v>
      </c>
      <c r="J396" t="str">
        <f>INDEX(Table1[ICD-10 Code],MATCH(Table2[[#This Row],[Treatment]],Table1[Treatment Type],0))</f>
        <v>Z01.2</v>
      </c>
      <c r="K396" t="s">
        <v>28</v>
      </c>
      <c r="L396" t="s">
        <v>28</v>
      </c>
      <c r="M396" t="s">
        <v>29</v>
      </c>
      <c r="N396">
        <f>Table2[[#This Row],[Total Paid]]+Table2[[#This Row],[Due]]</f>
        <v>200</v>
      </c>
      <c r="O396">
        <v>0</v>
      </c>
      <c r="P396">
        <v>0</v>
      </c>
      <c r="Q396">
        <v>200</v>
      </c>
      <c r="R396">
        <v>0</v>
      </c>
      <c r="S396">
        <v>0</v>
      </c>
      <c r="T396">
        <v>200</v>
      </c>
      <c r="U396">
        <v>0</v>
      </c>
      <c r="V396">
        <v>200</v>
      </c>
      <c r="W396" t="s">
        <v>51</v>
      </c>
      <c r="X396" s="6" t="s">
        <v>673</v>
      </c>
    </row>
    <row r="397" spans="1:24" hidden="1" x14ac:dyDescent="0.25">
      <c r="A397" t="s">
        <v>688</v>
      </c>
      <c r="B397" t="s">
        <v>275</v>
      </c>
      <c r="C397" t="s">
        <v>34</v>
      </c>
      <c r="D397">
        <v>46</v>
      </c>
      <c r="E397" s="1">
        <v>45210</v>
      </c>
      <c r="F397" t="s">
        <v>88</v>
      </c>
      <c r="G397" t="s">
        <v>36</v>
      </c>
      <c r="H397" t="str">
        <f>INDEX(Table1[Diagnosis],MATCH(I397,'codeand diagnosis'!$A$2:$A$11,0))</f>
        <v>Gingivitis</v>
      </c>
      <c r="I397" t="s">
        <v>27</v>
      </c>
      <c r="J397" t="str">
        <f>INDEX(Table1[ICD-10 Code],MATCH(Table2[[#This Row],[Treatment]],Table1[Treatment Type],0))</f>
        <v>K05.10</v>
      </c>
      <c r="K397" t="s">
        <v>28</v>
      </c>
      <c r="L397" t="s">
        <v>28</v>
      </c>
      <c r="M397" t="s">
        <v>29</v>
      </c>
      <c r="N397">
        <f>Table2[[#This Row],[Total Paid]]+Table2[[#This Row],[Due]]</f>
        <v>618</v>
      </c>
      <c r="O397">
        <v>618</v>
      </c>
      <c r="P397">
        <v>0</v>
      </c>
      <c r="Q397">
        <v>0</v>
      </c>
      <c r="R397">
        <v>0</v>
      </c>
      <c r="S397">
        <v>0</v>
      </c>
      <c r="T397">
        <v>618</v>
      </c>
      <c r="U397">
        <v>0</v>
      </c>
      <c r="V397">
        <v>618</v>
      </c>
      <c r="W397" t="s">
        <v>51</v>
      </c>
      <c r="X397" s="6" t="s">
        <v>673</v>
      </c>
    </row>
    <row r="398" spans="1:24" hidden="1" x14ac:dyDescent="0.25">
      <c r="A398" t="s">
        <v>689</v>
      </c>
      <c r="B398" t="s">
        <v>177</v>
      </c>
      <c r="C398" t="s">
        <v>34</v>
      </c>
      <c r="D398">
        <v>48</v>
      </c>
      <c r="E398" s="1">
        <v>45210</v>
      </c>
      <c r="F398" t="s">
        <v>88</v>
      </c>
      <c r="G398" t="s">
        <v>26</v>
      </c>
      <c r="H398" t="str">
        <f>INDEX(Table1[Diagnosis],MATCH(I398,'codeand diagnosis'!$A$2:$A$11,0))</f>
        <v>Cosmetic procedure</v>
      </c>
      <c r="I398" t="s">
        <v>55</v>
      </c>
      <c r="J398" t="str">
        <f>INDEX(Table1[ICD-10 Code],MATCH(Table2[[#This Row],[Treatment]],Table1[Treatment Type],0))</f>
        <v>Z41.1</v>
      </c>
      <c r="K398" t="s">
        <v>28</v>
      </c>
      <c r="L398" t="s">
        <v>28</v>
      </c>
      <c r="M398" t="s">
        <v>29</v>
      </c>
      <c r="N398">
        <f>Table2[[#This Row],[Total Paid]]+Table2[[#This Row],[Due]]</f>
        <v>1323</v>
      </c>
      <c r="O398">
        <v>1523</v>
      </c>
      <c r="P398">
        <v>0</v>
      </c>
      <c r="Q398">
        <v>0</v>
      </c>
      <c r="R398">
        <v>0</v>
      </c>
      <c r="S398">
        <v>200</v>
      </c>
      <c r="T398">
        <v>1209</v>
      </c>
      <c r="U398">
        <v>114</v>
      </c>
      <c r="V398">
        <v>1209</v>
      </c>
      <c r="W398" t="s">
        <v>47</v>
      </c>
      <c r="X398" s="6" t="s">
        <v>673</v>
      </c>
    </row>
    <row r="399" spans="1:24" hidden="1" x14ac:dyDescent="0.25">
      <c r="A399" t="s">
        <v>690</v>
      </c>
      <c r="B399" t="s">
        <v>141</v>
      </c>
      <c r="C399" t="s">
        <v>34</v>
      </c>
      <c r="D399">
        <v>20</v>
      </c>
      <c r="E399" t="s">
        <v>691</v>
      </c>
      <c r="F399" t="s">
        <v>88</v>
      </c>
      <c r="G399" t="s">
        <v>26</v>
      </c>
      <c r="H399" t="str">
        <f>INDEX(Table1[Diagnosis],MATCH(I399,'codeand diagnosis'!$A$2:$A$11,0))</f>
        <v>Dental examination</v>
      </c>
      <c r="I399" t="s">
        <v>45</v>
      </c>
      <c r="J399" t="str">
        <f>INDEX(Table1[ICD-10 Code],MATCH(Table2[[#This Row],[Treatment]],Table1[Treatment Type],0))</f>
        <v>Z01.2</v>
      </c>
      <c r="K399" t="s">
        <v>28</v>
      </c>
      <c r="L399" t="s">
        <v>28</v>
      </c>
      <c r="M399" t="s">
        <v>29</v>
      </c>
      <c r="N399">
        <f>Table2[[#This Row],[Total Paid]]+Table2[[#This Row],[Due]]</f>
        <v>200</v>
      </c>
      <c r="O399">
        <v>0</v>
      </c>
      <c r="P399">
        <v>0</v>
      </c>
      <c r="Q399">
        <v>200</v>
      </c>
      <c r="R399">
        <v>0</v>
      </c>
      <c r="S399">
        <v>0</v>
      </c>
      <c r="T399">
        <v>200</v>
      </c>
      <c r="U399">
        <v>0</v>
      </c>
      <c r="V399">
        <v>200</v>
      </c>
      <c r="W399" t="s">
        <v>51</v>
      </c>
      <c r="X399" s="6" t="s">
        <v>673</v>
      </c>
    </row>
    <row r="400" spans="1:24" hidden="1" x14ac:dyDescent="0.25">
      <c r="A400" t="s">
        <v>692</v>
      </c>
      <c r="B400" t="s">
        <v>207</v>
      </c>
      <c r="C400" t="s">
        <v>34</v>
      </c>
      <c r="D400">
        <v>49</v>
      </c>
      <c r="E400" t="s">
        <v>693</v>
      </c>
      <c r="F400" t="s">
        <v>50</v>
      </c>
      <c r="G400" t="s">
        <v>26</v>
      </c>
      <c r="H400" t="str">
        <f>INDEX(Table1[Diagnosis],MATCH(I400,'codeand diagnosis'!$A$2:$A$11,0))</f>
        <v>Dental examination with radiology</v>
      </c>
      <c r="I400" t="s">
        <v>37</v>
      </c>
      <c r="J400" t="str">
        <f>INDEX(Table1[ICD-10 Code],MATCH(Table2[[#This Row],[Treatment]],Table1[Treatment Type],0))</f>
        <v>Z01.2</v>
      </c>
      <c r="K400" t="s">
        <v>28</v>
      </c>
      <c r="L400" t="s">
        <v>38</v>
      </c>
      <c r="M400" t="s">
        <v>29</v>
      </c>
      <c r="N400">
        <f>Table2[[#This Row],[Total Paid]]+Table2[[#This Row],[Due]]</f>
        <v>250</v>
      </c>
      <c r="O400">
        <v>0</v>
      </c>
      <c r="P400">
        <v>150</v>
      </c>
      <c r="Q400">
        <v>200</v>
      </c>
      <c r="R400">
        <v>0</v>
      </c>
      <c r="S400">
        <v>100</v>
      </c>
      <c r="T400">
        <v>250</v>
      </c>
      <c r="U400">
        <v>0</v>
      </c>
      <c r="V400">
        <v>250</v>
      </c>
      <c r="W400" t="s">
        <v>47</v>
      </c>
      <c r="X400" s="6" t="s">
        <v>673</v>
      </c>
    </row>
    <row r="401" spans="1:24" hidden="1" x14ac:dyDescent="0.25">
      <c r="A401" t="s">
        <v>694</v>
      </c>
      <c r="B401" t="s">
        <v>184</v>
      </c>
      <c r="C401" t="s">
        <v>34</v>
      </c>
      <c r="D401">
        <v>18</v>
      </c>
      <c r="E401" t="s">
        <v>693</v>
      </c>
      <c r="F401" t="s">
        <v>88</v>
      </c>
      <c r="G401" t="s">
        <v>26</v>
      </c>
      <c r="H401" t="str">
        <f>INDEX(Table1[Diagnosis],MATCH(I401,'codeand diagnosis'!$A$2:$A$11,0))</f>
        <v>Dental examination with radiology</v>
      </c>
      <c r="I401" t="s">
        <v>37</v>
      </c>
      <c r="J401" t="str">
        <f>INDEX(Table1[ICD-10 Code],MATCH(Table2[[#This Row],[Treatment]],Table1[Treatment Type],0))</f>
        <v>Z01.2</v>
      </c>
      <c r="K401" t="s">
        <v>28</v>
      </c>
      <c r="L401" t="s">
        <v>38</v>
      </c>
      <c r="M401" t="s">
        <v>29</v>
      </c>
      <c r="N401">
        <f>Table2[[#This Row],[Total Paid]]+Table2[[#This Row],[Due]]</f>
        <v>350</v>
      </c>
      <c r="O401">
        <v>0</v>
      </c>
      <c r="P401">
        <v>150</v>
      </c>
      <c r="Q401">
        <v>200</v>
      </c>
      <c r="R401">
        <v>0</v>
      </c>
      <c r="S401">
        <v>0</v>
      </c>
      <c r="T401">
        <v>350</v>
      </c>
      <c r="U401">
        <v>0</v>
      </c>
      <c r="V401">
        <v>350</v>
      </c>
      <c r="W401" t="s">
        <v>30</v>
      </c>
      <c r="X401" s="6" t="s">
        <v>673</v>
      </c>
    </row>
    <row r="402" spans="1:24" hidden="1" x14ac:dyDescent="0.25">
      <c r="A402" t="s">
        <v>695</v>
      </c>
      <c r="B402" t="s">
        <v>420</v>
      </c>
      <c r="C402" t="s">
        <v>34</v>
      </c>
      <c r="D402">
        <v>64</v>
      </c>
      <c r="E402" t="s">
        <v>696</v>
      </c>
      <c r="F402" t="s">
        <v>132</v>
      </c>
      <c r="G402" t="s">
        <v>36</v>
      </c>
      <c r="H402" t="str">
        <f>INDEX(Table1[Diagnosis],MATCH(I402,'codeand diagnosis'!$A$2:$A$11,0))</f>
        <v>Retained dental root</v>
      </c>
      <c r="I402" t="s">
        <v>145</v>
      </c>
      <c r="J402" t="str">
        <f>INDEX(Table1[ICD-10 Code],MATCH(Table2[[#This Row],[Treatment]],Table1[Treatment Type],0))</f>
        <v>K08.3</v>
      </c>
      <c r="K402" t="s">
        <v>28</v>
      </c>
      <c r="L402" t="s">
        <v>28</v>
      </c>
      <c r="M402" t="s">
        <v>29</v>
      </c>
      <c r="N402">
        <f>Table2[[#This Row],[Total Paid]]+Table2[[#This Row],[Due]]</f>
        <v>2503</v>
      </c>
      <c r="O402">
        <v>2503</v>
      </c>
      <c r="P402">
        <v>0</v>
      </c>
      <c r="Q402">
        <v>0</v>
      </c>
      <c r="R402">
        <v>760</v>
      </c>
      <c r="S402">
        <v>0</v>
      </c>
      <c r="T402">
        <v>2503</v>
      </c>
      <c r="U402">
        <v>0</v>
      </c>
      <c r="V402">
        <v>1743</v>
      </c>
      <c r="W402" t="s">
        <v>42</v>
      </c>
      <c r="X402" s="6" t="s">
        <v>673</v>
      </c>
    </row>
    <row r="403" spans="1:24" hidden="1" x14ac:dyDescent="0.25">
      <c r="A403" t="s">
        <v>697</v>
      </c>
      <c r="B403" t="s">
        <v>232</v>
      </c>
      <c r="C403" t="s">
        <v>24</v>
      </c>
      <c r="D403">
        <v>17</v>
      </c>
      <c r="E403" t="s">
        <v>696</v>
      </c>
      <c r="F403" t="s">
        <v>88</v>
      </c>
      <c r="G403" t="s">
        <v>26</v>
      </c>
      <c r="H403" t="str">
        <f>INDEX(Table1[Diagnosis],MATCH(I403,'codeand diagnosis'!$A$2:$A$11,0))</f>
        <v>Dental examination with radiology</v>
      </c>
      <c r="I403" t="s">
        <v>37</v>
      </c>
      <c r="J403" t="str">
        <f>INDEX(Table1[ICD-10 Code],MATCH(Table2[[#This Row],[Treatment]],Table1[Treatment Type],0))</f>
        <v>Z01.2</v>
      </c>
      <c r="K403" t="s">
        <v>28</v>
      </c>
      <c r="L403" t="s">
        <v>38</v>
      </c>
      <c r="M403" t="s">
        <v>29</v>
      </c>
      <c r="N403">
        <f>Table2[[#This Row],[Total Paid]]+Table2[[#This Row],[Due]]</f>
        <v>350</v>
      </c>
      <c r="O403">
        <v>0</v>
      </c>
      <c r="P403">
        <v>150</v>
      </c>
      <c r="Q403">
        <v>200</v>
      </c>
      <c r="R403">
        <v>0</v>
      </c>
      <c r="S403">
        <v>0</v>
      </c>
      <c r="T403">
        <v>350</v>
      </c>
      <c r="U403">
        <v>0</v>
      </c>
      <c r="V403">
        <v>350</v>
      </c>
      <c r="W403" t="s">
        <v>47</v>
      </c>
      <c r="X403" s="6" t="s">
        <v>673</v>
      </c>
    </row>
    <row r="404" spans="1:24" hidden="1" x14ac:dyDescent="0.25">
      <c r="A404" t="s">
        <v>698</v>
      </c>
      <c r="B404" t="s">
        <v>361</v>
      </c>
      <c r="C404" t="s">
        <v>34</v>
      </c>
      <c r="D404">
        <v>25</v>
      </c>
      <c r="E404" t="s">
        <v>699</v>
      </c>
      <c r="F404" t="s">
        <v>88</v>
      </c>
      <c r="G404" t="s">
        <v>26</v>
      </c>
      <c r="H404" t="str">
        <f>INDEX(Table1[Diagnosis],MATCH(I404,'codeand diagnosis'!$A$2:$A$11,0))</f>
        <v>Gingivitis</v>
      </c>
      <c r="I404" t="s">
        <v>27</v>
      </c>
      <c r="J404" t="str">
        <f>INDEX(Table1[ICD-10 Code],MATCH(Table2[[#This Row],[Treatment]],Table1[Treatment Type],0))</f>
        <v>K05.10</v>
      </c>
      <c r="K404" t="s">
        <v>28</v>
      </c>
      <c r="L404" t="s">
        <v>38</v>
      </c>
      <c r="M404" t="s">
        <v>29</v>
      </c>
      <c r="N404">
        <f>Table2[[#This Row],[Total Paid]]+Table2[[#This Row],[Due]]</f>
        <v>307.2</v>
      </c>
      <c r="O404">
        <v>512</v>
      </c>
      <c r="P404">
        <v>0</v>
      </c>
      <c r="Q404">
        <v>0</v>
      </c>
      <c r="R404">
        <v>0</v>
      </c>
      <c r="S404">
        <v>204.8</v>
      </c>
      <c r="T404">
        <v>307.2</v>
      </c>
      <c r="U404">
        <v>0</v>
      </c>
      <c r="V404">
        <v>307.2</v>
      </c>
      <c r="W404" t="s">
        <v>30</v>
      </c>
      <c r="X404" s="6" t="s">
        <v>673</v>
      </c>
    </row>
    <row r="405" spans="1:24" hidden="1" x14ac:dyDescent="0.25">
      <c r="A405" t="s">
        <v>700</v>
      </c>
      <c r="B405" t="s">
        <v>125</v>
      </c>
      <c r="C405" t="s">
        <v>34</v>
      </c>
      <c r="D405">
        <v>45</v>
      </c>
      <c r="E405" t="s">
        <v>699</v>
      </c>
      <c r="F405" t="s">
        <v>50</v>
      </c>
      <c r="G405" t="s">
        <v>26</v>
      </c>
      <c r="H405" t="str">
        <f>INDEX(Table1[Diagnosis],MATCH(I405,'codeand diagnosis'!$A$2:$A$11,0))</f>
        <v>Dental examination with radiology</v>
      </c>
      <c r="I405" t="s">
        <v>37</v>
      </c>
      <c r="J405" t="str">
        <f>INDEX(Table1[ICD-10 Code],MATCH(Table2[[#This Row],[Treatment]],Table1[Treatment Type],0))</f>
        <v>Z01.2</v>
      </c>
      <c r="K405" t="s">
        <v>28</v>
      </c>
      <c r="L405" t="s">
        <v>38</v>
      </c>
      <c r="M405" t="s">
        <v>46</v>
      </c>
      <c r="N405">
        <f>Table2[[#This Row],[Total Paid]]+Table2[[#This Row],[Due]]</f>
        <v>350</v>
      </c>
      <c r="O405">
        <v>0</v>
      </c>
      <c r="P405">
        <v>150</v>
      </c>
      <c r="Q405">
        <v>200</v>
      </c>
      <c r="R405">
        <v>0</v>
      </c>
      <c r="S405">
        <v>0</v>
      </c>
      <c r="T405">
        <v>350</v>
      </c>
      <c r="U405">
        <v>0</v>
      </c>
      <c r="V405">
        <v>350</v>
      </c>
      <c r="W405" t="s">
        <v>42</v>
      </c>
      <c r="X405" s="6" t="s">
        <v>673</v>
      </c>
    </row>
    <row r="406" spans="1:24" hidden="1" x14ac:dyDescent="0.25">
      <c r="A406" t="s">
        <v>701</v>
      </c>
      <c r="B406" t="s">
        <v>77</v>
      </c>
      <c r="C406" t="s">
        <v>34</v>
      </c>
      <c r="D406">
        <v>71</v>
      </c>
      <c r="E406" t="s">
        <v>702</v>
      </c>
      <c r="F406" t="s">
        <v>50</v>
      </c>
      <c r="G406" t="s">
        <v>26</v>
      </c>
      <c r="H406" t="str">
        <f>INDEX(Table1[Diagnosis],MATCH(I406,'codeand diagnosis'!$A$2:$A$11,0))</f>
        <v>Dental examination</v>
      </c>
      <c r="I406" t="s">
        <v>45</v>
      </c>
      <c r="J406" t="str">
        <f>INDEX(Table1[ICD-10 Code],MATCH(Table2[[#This Row],[Treatment]],Table1[Treatment Type],0))</f>
        <v>Z01.2</v>
      </c>
      <c r="K406" t="s">
        <v>28</v>
      </c>
      <c r="L406" t="s">
        <v>28</v>
      </c>
      <c r="M406" t="s">
        <v>29</v>
      </c>
      <c r="N406">
        <f>Table2[[#This Row],[Total Paid]]+Table2[[#This Row],[Due]]</f>
        <v>200</v>
      </c>
      <c r="O406">
        <v>0</v>
      </c>
      <c r="P406">
        <v>0</v>
      </c>
      <c r="Q406">
        <v>200</v>
      </c>
      <c r="R406">
        <v>0</v>
      </c>
      <c r="S406">
        <v>0</v>
      </c>
      <c r="T406">
        <v>200</v>
      </c>
      <c r="U406">
        <v>0</v>
      </c>
      <c r="V406">
        <v>200</v>
      </c>
      <c r="W406" t="s">
        <v>51</v>
      </c>
      <c r="X406" s="6" t="s">
        <v>673</v>
      </c>
    </row>
    <row r="407" spans="1:24" hidden="1" x14ac:dyDescent="0.25">
      <c r="A407" t="s">
        <v>703</v>
      </c>
      <c r="B407" t="s">
        <v>420</v>
      </c>
      <c r="C407" t="s">
        <v>34</v>
      </c>
      <c r="D407">
        <v>29</v>
      </c>
      <c r="E407" t="s">
        <v>702</v>
      </c>
      <c r="F407" t="s">
        <v>245</v>
      </c>
      <c r="G407" t="s">
        <v>36</v>
      </c>
      <c r="H407" t="str">
        <f>INDEX(Table1[Diagnosis],MATCH(I407,'codeand diagnosis'!$A$2:$A$11,0))</f>
        <v>Dental examination with radiology</v>
      </c>
      <c r="I407" t="s">
        <v>37</v>
      </c>
      <c r="J407" t="str">
        <f>INDEX(Table1[ICD-10 Code],MATCH(Table2[[#This Row],[Treatment]],Table1[Treatment Type],0))</f>
        <v>Z01.2</v>
      </c>
      <c r="K407" t="s">
        <v>28</v>
      </c>
      <c r="L407" t="s">
        <v>38</v>
      </c>
      <c r="M407" t="s">
        <v>29</v>
      </c>
      <c r="N407">
        <f>Table2[[#This Row],[Total Paid]]+Table2[[#This Row],[Due]]</f>
        <v>350</v>
      </c>
      <c r="O407">
        <v>0</v>
      </c>
      <c r="P407">
        <v>150</v>
      </c>
      <c r="Q407">
        <v>200</v>
      </c>
      <c r="R407">
        <v>0</v>
      </c>
      <c r="S407">
        <v>0</v>
      </c>
      <c r="T407">
        <v>350</v>
      </c>
      <c r="U407">
        <v>0</v>
      </c>
      <c r="V407">
        <v>350</v>
      </c>
      <c r="W407" t="s">
        <v>47</v>
      </c>
      <c r="X407" s="6" t="s">
        <v>673</v>
      </c>
    </row>
    <row r="408" spans="1:24" hidden="1" x14ac:dyDescent="0.25">
      <c r="A408" t="s">
        <v>704</v>
      </c>
      <c r="B408" t="s">
        <v>63</v>
      </c>
      <c r="C408" t="s">
        <v>24</v>
      </c>
      <c r="D408">
        <v>17</v>
      </c>
      <c r="E408" t="s">
        <v>705</v>
      </c>
      <c r="F408" t="s">
        <v>50</v>
      </c>
      <c r="G408" t="s">
        <v>36</v>
      </c>
      <c r="H408" t="str">
        <f>INDEX(Table1[Diagnosis],MATCH(I408,'codeand diagnosis'!$A$2:$A$11,0))</f>
        <v>Dental examination with radiology</v>
      </c>
      <c r="I408" t="s">
        <v>37</v>
      </c>
      <c r="J408" t="str">
        <f>INDEX(Table1[ICD-10 Code],MATCH(Table2[[#This Row],[Treatment]],Table1[Treatment Type],0))</f>
        <v>Z01.2</v>
      </c>
      <c r="K408" t="s">
        <v>28</v>
      </c>
      <c r="L408" t="s">
        <v>38</v>
      </c>
      <c r="M408" t="s">
        <v>46</v>
      </c>
      <c r="N408">
        <f>Table2[[#This Row],[Total Paid]]+Table2[[#This Row],[Due]]</f>
        <v>350</v>
      </c>
      <c r="O408">
        <v>0</v>
      </c>
      <c r="P408">
        <v>150</v>
      </c>
      <c r="Q408">
        <v>200</v>
      </c>
      <c r="R408">
        <v>0</v>
      </c>
      <c r="S408">
        <v>0</v>
      </c>
      <c r="T408">
        <v>350</v>
      </c>
      <c r="U408">
        <v>0</v>
      </c>
      <c r="V408">
        <v>350</v>
      </c>
      <c r="W408" t="s">
        <v>51</v>
      </c>
      <c r="X408" s="6" t="s">
        <v>673</v>
      </c>
    </row>
    <row r="409" spans="1:24" hidden="1" x14ac:dyDescent="0.25">
      <c r="A409" t="s">
        <v>706</v>
      </c>
      <c r="B409" t="s">
        <v>167</v>
      </c>
      <c r="C409" t="s">
        <v>24</v>
      </c>
      <c r="D409">
        <v>39</v>
      </c>
      <c r="E409" t="s">
        <v>707</v>
      </c>
      <c r="F409" t="s">
        <v>50</v>
      </c>
      <c r="G409" t="s">
        <v>36</v>
      </c>
      <c r="H409" t="str">
        <f>INDEX(Table1[Diagnosis],MATCH(I409,'codeand diagnosis'!$A$2:$A$11,0))</f>
        <v>Dental examination with radiology</v>
      </c>
      <c r="I409" t="s">
        <v>37</v>
      </c>
      <c r="J409" t="str">
        <f>INDEX(Table1[ICD-10 Code],MATCH(Table2[[#This Row],[Treatment]],Table1[Treatment Type],0))</f>
        <v>Z01.2</v>
      </c>
      <c r="K409" t="s">
        <v>28</v>
      </c>
      <c r="L409" t="s">
        <v>38</v>
      </c>
      <c r="M409" t="s">
        <v>29</v>
      </c>
      <c r="N409">
        <f>Table2[[#This Row],[Total Paid]]+Table2[[#This Row],[Due]]</f>
        <v>350</v>
      </c>
      <c r="O409">
        <v>0</v>
      </c>
      <c r="P409">
        <v>150</v>
      </c>
      <c r="Q409">
        <v>200</v>
      </c>
      <c r="R409">
        <v>0</v>
      </c>
      <c r="S409">
        <v>0</v>
      </c>
      <c r="T409">
        <v>350</v>
      </c>
      <c r="U409">
        <v>0</v>
      </c>
      <c r="V409">
        <v>350</v>
      </c>
      <c r="W409" t="s">
        <v>47</v>
      </c>
      <c r="X409" s="6" t="s">
        <v>673</v>
      </c>
    </row>
    <row r="410" spans="1:24" hidden="1" x14ac:dyDescent="0.25">
      <c r="A410" t="s">
        <v>708</v>
      </c>
      <c r="B410" t="s">
        <v>91</v>
      </c>
      <c r="C410" t="s">
        <v>34</v>
      </c>
      <c r="D410">
        <v>64</v>
      </c>
      <c r="E410" t="s">
        <v>709</v>
      </c>
      <c r="F410" t="s">
        <v>88</v>
      </c>
      <c r="G410" t="s">
        <v>26</v>
      </c>
      <c r="H410" t="str">
        <f>INDEX(Table1[Diagnosis],MATCH(I410,'codeand diagnosis'!$A$2:$A$11,0))</f>
        <v>Dental examination</v>
      </c>
      <c r="I410" t="s">
        <v>45</v>
      </c>
      <c r="J410" t="str">
        <f>INDEX(Table1[ICD-10 Code],MATCH(Table2[[#This Row],[Treatment]],Table1[Treatment Type],0))</f>
        <v>Z01.2</v>
      </c>
      <c r="K410" t="s">
        <v>28</v>
      </c>
      <c r="L410" t="s">
        <v>28</v>
      </c>
      <c r="M410" t="s">
        <v>29</v>
      </c>
      <c r="N410">
        <f>Table2[[#This Row],[Total Paid]]+Table2[[#This Row],[Due]]</f>
        <v>200</v>
      </c>
      <c r="O410">
        <v>0</v>
      </c>
      <c r="P410">
        <v>0</v>
      </c>
      <c r="Q410">
        <v>200</v>
      </c>
      <c r="R410">
        <v>0</v>
      </c>
      <c r="S410">
        <v>0</v>
      </c>
      <c r="T410">
        <v>200</v>
      </c>
      <c r="U410">
        <v>0</v>
      </c>
      <c r="V410">
        <v>200</v>
      </c>
      <c r="W410" t="s">
        <v>30</v>
      </c>
      <c r="X410" s="6" t="s">
        <v>673</v>
      </c>
    </row>
    <row r="411" spans="1:24" hidden="1" x14ac:dyDescent="0.25">
      <c r="A411" t="s">
        <v>710</v>
      </c>
      <c r="B411" t="s">
        <v>237</v>
      </c>
      <c r="C411" t="s">
        <v>34</v>
      </c>
      <c r="D411">
        <v>75</v>
      </c>
      <c r="E411" t="s">
        <v>711</v>
      </c>
      <c r="F411" t="s">
        <v>35</v>
      </c>
      <c r="G411" t="s">
        <v>36</v>
      </c>
      <c r="H411" t="str">
        <f>INDEX(Table1[Diagnosis],MATCH(I411,'codeand diagnosis'!$A$2:$A$11,0))</f>
        <v>Retained dental root</v>
      </c>
      <c r="I411" t="s">
        <v>145</v>
      </c>
      <c r="J411" t="str">
        <f>INDEX(Table1[ICD-10 Code],MATCH(Table2[[#This Row],[Treatment]],Table1[Treatment Type],0))</f>
        <v>K08.3</v>
      </c>
      <c r="K411" t="s">
        <v>28</v>
      </c>
      <c r="L411" t="s">
        <v>38</v>
      </c>
      <c r="M411" t="s">
        <v>29</v>
      </c>
      <c r="N411">
        <f>Table2[[#This Row],[Total Paid]]+Table2[[#This Row],[Due]]</f>
        <v>3894</v>
      </c>
      <c r="O411">
        <v>3894</v>
      </c>
      <c r="P411">
        <v>0</v>
      </c>
      <c r="Q411">
        <v>0</v>
      </c>
      <c r="R411">
        <v>1220</v>
      </c>
      <c r="S411">
        <v>0</v>
      </c>
      <c r="T411">
        <v>3894</v>
      </c>
      <c r="U411">
        <v>0</v>
      </c>
      <c r="V411">
        <v>2674</v>
      </c>
      <c r="W411" t="s">
        <v>51</v>
      </c>
      <c r="X411" s="6" t="s">
        <v>673</v>
      </c>
    </row>
    <row r="412" spans="1:24" hidden="1" x14ac:dyDescent="0.25">
      <c r="A412" t="s">
        <v>712</v>
      </c>
      <c r="B412" t="s">
        <v>194</v>
      </c>
      <c r="C412" t="s">
        <v>34</v>
      </c>
      <c r="D412">
        <v>19</v>
      </c>
      <c r="E412" t="s">
        <v>711</v>
      </c>
      <c r="F412" t="s">
        <v>132</v>
      </c>
      <c r="G412" t="s">
        <v>26</v>
      </c>
      <c r="H412" t="str">
        <f>INDEX(Table1[Diagnosis],MATCH(I412,'codeand diagnosis'!$A$2:$A$11,0))</f>
        <v>Dental examination</v>
      </c>
      <c r="I412" t="s">
        <v>45</v>
      </c>
      <c r="J412" t="str">
        <f>INDEX(Table1[ICD-10 Code],MATCH(Table2[[#This Row],[Treatment]],Table1[Treatment Type],0))</f>
        <v>Z01.2</v>
      </c>
      <c r="K412" t="s">
        <v>28</v>
      </c>
      <c r="L412" t="s">
        <v>28</v>
      </c>
      <c r="M412" t="s">
        <v>29</v>
      </c>
      <c r="N412">
        <f>Table2[[#This Row],[Total Paid]]+Table2[[#This Row],[Due]]</f>
        <v>200</v>
      </c>
      <c r="O412">
        <v>0</v>
      </c>
      <c r="P412">
        <v>0</v>
      </c>
      <c r="Q412">
        <v>200</v>
      </c>
      <c r="R412">
        <v>0</v>
      </c>
      <c r="S412">
        <v>0</v>
      </c>
      <c r="T412">
        <v>200</v>
      </c>
      <c r="U412">
        <v>0</v>
      </c>
      <c r="V412">
        <v>200</v>
      </c>
      <c r="W412" t="s">
        <v>51</v>
      </c>
      <c r="X412" s="6" t="s">
        <v>673</v>
      </c>
    </row>
    <row r="413" spans="1:24" hidden="1" x14ac:dyDescent="0.25">
      <c r="A413" t="s">
        <v>713</v>
      </c>
      <c r="B413" t="s">
        <v>428</v>
      </c>
      <c r="C413" t="s">
        <v>24</v>
      </c>
      <c r="D413">
        <v>53</v>
      </c>
      <c r="E413" t="s">
        <v>711</v>
      </c>
      <c r="F413" t="s">
        <v>54</v>
      </c>
      <c r="G413" t="s">
        <v>26</v>
      </c>
      <c r="H413" t="str">
        <f>INDEX(Table1[Diagnosis],MATCH(I413,'codeand diagnosis'!$A$2:$A$11,0))</f>
        <v>Dental examination with radiology</v>
      </c>
      <c r="I413" t="s">
        <v>37</v>
      </c>
      <c r="J413" t="str">
        <f>INDEX(Table1[ICD-10 Code],MATCH(Table2[[#This Row],[Treatment]],Table1[Treatment Type],0))</f>
        <v>Z01.2</v>
      </c>
      <c r="K413" t="s">
        <v>28</v>
      </c>
      <c r="L413" t="s">
        <v>38</v>
      </c>
      <c r="M413" t="s">
        <v>29</v>
      </c>
      <c r="N413">
        <f>Table2[[#This Row],[Total Paid]]+Table2[[#This Row],[Due]]</f>
        <v>350</v>
      </c>
      <c r="O413">
        <v>0</v>
      </c>
      <c r="P413">
        <v>150</v>
      </c>
      <c r="Q413">
        <v>200</v>
      </c>
      <c r="R413">
        <v>0</v>
      </c>
      <c r="S413">
        <v>0</v>
      </c>
      <c r="T413">
        <v>350</v>
      </c>
      <c r="U413">
        <v>0</v>
      </c>
      <c r="V413">
        <v>350</v>
      </c>
      <c r="W413" t="s">
        <v>42</v>
      </c>
      <c r="X413" s="6" t="s">
        <v>673</v>
      </c>
    </row>
    <row r="414" spans="1:24" hidden="1" x14ac:dyDescent="0.25">
      <c r="A414" t="s">
        <v>714</v>
      </c>
      <c r="B414" t="s">
        <v>80</v>
      </c>
      <c r="C414" t="s">
        <v>34</v>
      </c>
      <c r="D414">
        <v>41</v>
      </c>
      <c r="E414" t="s">
        <v>715</v>
      </c>
      <c r="F414" t="s">
        <v>35</v>
      </c>
      <c r="G414" t="s">
        <v>26</v>
      </c>
      <c r="H414" t="str">
        <f>INDEX(Table1[Diagnosis],MATCH(I414,'codeand diagnosis'!$A$2:$A$11,0))</f>
        <v>Pulpitis</v>
      </c>
      <c r="I414" t="s">
        <v>111</v>
      </c>
      <c r="J414" t="str">
        <f>INDEX(Table1[ICD-10 Code],MATCH(Table2[[#This Row],[Treatment]],Table1[Treatment Type],0))</f>
        <v>K04.0</v>
      </c>
      <c r="K414" t="s">
        <v>28</v>
      </c>
      <c r="L414" t="s">
        <v>38</v>
      </c>
      <c r="M414" t="s">
        <v>29</v>
      </c>
      <c r="N414">
        <f>Table2[[#This Row],[Total Paid]]+Table2[[#This Row],[Due]]</f>
        <v>3676</v>
      </c>
      <c r="O414">
        <v>3676</v>
      </c>
      <c r="P414">
        <v>0</v>
      </c>
      <c r="Q414">
        <v>0</v>
      </c>
      <c r="R414">
        <v>0</v>
      </c>
      <c r="S414">
        <v>0</v>
      </c>
      <c r="T414">
        <v>2348</v>
      </c>
      <c r="U414">
        <v>1328</v>
      </c>
      <c r="V414">
        <v>2348</v>
      </c>
      <c r="W414" t="s">
        <v>51</v>
      </c>
      <c r="X414" s="6" t="s">
        <v>673</v>
      </c>
    </row>
    <row r="415" spans="1:24" hidden="1" x14ac:dyDescent="0.25">
      <c r="A415" t="s">
        <v>716</v>
      </c>
      <c r="B415" t="s">
        <v>67</v>
      </c>
      <c r="C415" t="s">
        <v>24</v>
      </c>
      <c r="D415">
        <v>68</v>
      </c>
      <c r="E415" t="s">
        <v>717</v>
      </c>
      <c r="F415" t="s">
        <v>50</v>
      </c>
      <c r="G415" t="s">
        <v>26</v>
      </c>
      <c r="H415" t="str">
        <f>INDEX(Table1[Diagnosis],MATCH(I415,'codeand diagnosis'!$A$2:$A$11,0))</f>
        <v>Dental examination</v>
      </c>
      <c r="I415" t="s">
        <v>45</v>
      </c>
      <c r="J415" t="str">
        <f>INDEX(Table1[ICD-10 Code],MATCH(Table2[[#This Row],[Treatment]],Table1[Treatment Type],0))</f>
        <v>Z01.2</v>
      </c>
      <c r="K415" t="s">
        <v>28</v>
      </c>
      <c r="L415" t="s">
        <v>28</v>
      </c>
      <c r="M415" t="s">
        <v>29</v>
      </c>
      <c r="N415">
        <f>Table2[[#This Row],[Total Paid]]+Table2[[#This Row],[Due]]</f>
        <v>200</v>
      </c>
      <c r="O415">
        <v>0</v>
      </c>
      <c r="P415">
        <v>0</v>
      </c>
      <c r="Q415">
        <v>200</v>
      </c>
      <c r="R415">
        <v>0</v>
      </c>
      <c r="S415">
        <v>0</v>
      </c>
      <c r="T415">
        <v>200</v>
      </c>
      <c r="U415">
        <v>0</v>
      </c>
      <c r="V415">
        <v>200</v>
      </c>
      <c r="W415" t="s">
        <v>42</v>
      </c>
      <c r="X415" s="6" t="s">
        <v>673</v>
      </c>
    </row>
    <row r="416" spans="1:24" hidden="1" x14ac:dyDescent="0.25">
      <c r="A416" t="s">
        <v>718</v>
      </c>
      <c r="B416" t="s">
        <v>182</v>
      </c>
      <c r="C416" t="s">
        <v>24</v>
      </c>
      <c r="D416">
        <v>21</v>
      </c>
      <c r="E416" t="s">
        <v>717</v>
      </c>
      <c r="F416" t="s">
        <v>50</v>
      </c>
      <c r="G416" t="s">
        <v>26</v>
      </c>
      <c r="H416" t="str">
        <f>INDEX(Table1[Diagnosis],MATCH(I416,'codeand diagnosis'!$A$2:$A$11,0))</f>
        <v>Dental examination</v>
      </c>
      <c r="I416" t="s">
        <v>45</v>
      </c>
      <c r="J416" t="str">
        <f>INDEX(Table1[ICD-10 Code],MATCH(Table2[[#This Row],[Treatment]],Table1[Treatment Type],0))</f>
        <v>Z01.2</v>
      </c>
      <c r="K416" t="s">
        <v>28</v>
      </c>
      <c r="L416" t="s">
        <v>28</v>
      </c>
      <c r="M416" t="s">
        <v>29</v>
      </c>
      <c r="N416">
        <f>Table2[[#This Row],[Total Paid]]+Table2[[#This Row],[Due]]</f>
        <v>200</v>
      </c>
      <c r="O416">
        <v>0</v>
      </c>
      <c r="P416">
        <v>0</v>
      </c>
      <c r="Q416">
        <v>200</v>
      </c>
      <c r="R416">
        <v>0</v>
      </c>
      <c r="S416">
        <v>0</v>
      </c>
      <c r="T416">
        <v>200</v>
      </c>
      <c r="U416">
        <v>0</v>
      </c>
      <c r="V416">
        <v>200</v>
      </c>
      <c r="W416" t="s">
        <v>47</v>
      </c>
      <c r="X416" s="6" t="s">
        <v>673</v>
      </c>
    </row>
    <row r="417" spans="1:24" hidden="1" x14ac:dyDescent="0.25">
      <c r="A417" t="s">
        <v>719</v>
      </c>
      <c r="B417" t="s">
        <v>98</v>
      </c>
      <c r="C417" t="s">
        <v>24</v>
      </c>
      <c r="D417">
        <v>7</v>
      </c>
      <c r="E417" s="1">
        <v>44969</v>
      </c>
      <c r="F417" t="s">
        <v>132</v>
      </c>
      <c r="G417" t="s">
        <v>26</v>
      </c>
      <c r="H417" t="str">
        <f>INDEX(Table1[Diagnosis],MATCH(I417,'codeand diagnosis'!$A$2:$A$11,0))</f>
        <v>Dental examination</v>
      </c>
      <c r="I417" t="s">
        <v>45</v>
      </c>
      <c r="J417" t="str">
        <f>INDEX(Table1[ICD-10 Code],MATCH(Table2[[#This Row],[Treatment]],Table1[Treatment Type],0))</f>
        <v>Z01.2</v>
      </c>
      <c r="K417" t="s">
        <v>28</v>
      </c>
      <c r="L417" t="s">
        <v>28</v>
      </c>
      <c r="M417" t="s">
        <v>29</v>
      </c>
      <c r="N417">
        <f>Table2[[#This Row],[Total Paid]]+Table2[[#This Row],[Due]]</f>
        <v>200</v>
      </c>
      <c r="O417">
        <v>0</v>
      </c>
      <c r="P417">
        <v>0</v>
      </c>
      <c r="Q417">
        <v>200</v>
      </c>
      <c r="R417">
        <v>0</v>
      </c>
      <c r="S417">
        <v>0</v>
      </c>
      <c r="T417">
        <v>200</v>
      </c>
      <c r="U417">
        <v>0</v>
      </c>
      <c r="V417">
        <v>200</v>
      </c>
      <c r="W417" t="s">
        <v>30</v>
      </c>
      <c r="X417" s="6" t="s">
        <v>720</v>
      </c>
    </row>
    <row r="418" spans="1:24" hidden="1" x14ac:dyDescent="0.25">
      <c r="A418" t="s">
        <v>721</v>
      </c>
      <c r="B418" t="s">
        <v>77</v>
      </c>
      <c r="C418" t="s">
        <v>34</v>
      </c>
      <c r="D418">
        <v>58</v>
      </c>
      <c r="E418" s="1">
        <v>45058</v>
      </c>
      <c r="F418" t="s">
        <v>104</v>
      </c>
      <c r="G418" t="s">
        <v>26</v>
      </c>
      <c r="H418" t="str">
        <f>INDEX(Table1[Diagnosis],MATCH(I418,'codeand diagnosis'!$A$2:$A$11,0))</f>
        <v>Dental examination</v>
      </c>
      <c r="I418" t="s">
        <v>45</v>
      </c>
      <c r="J418" t="str">
        <f>INDEX(Table1[ICD-10 Code],MATCH(Table2[[#This Row],[Treatment]],Table1[Treatment Type],0))</f>
        <v>Z01.2</v>
      </c>
      <c r="K418" t="s">
        <v>28</v>
      </c>
      <c r="L418" t="s">
        <v>28</v>
      </c>
      <c r="M418" t="s">
        <v>29</v>
      </c>
      <c r="N418">
        <f>Table2[[#This Row],[Total Paid]]+Table2[[#This Row],[Due]]</f>
        <v>200</v>
      </c>
      <c r="O418">
        <v>0</v>
      </c>
      <c r="P418">
        <v>0</v>
      </c>
      <c r="Q418">
        <v>200</v>
      </c>
      <c r="R418">
        <v>0</v>
      </c>
      <c r="S418">
        <v>0</v>
      </c>
      <c r="T418">
        <v>200</v>
      </c>
      <c r="U418">
        <v>0</v>
      </c>
      <c r="V418">
        <v>200</v>
      </c>
      <c r="W418" t="s">
        <v>51</v>
      </c>
      <c r="X418" s="6" t="s">
        <v>720</v>
      </c>
    </row>
    <row r="419" spans="1:24" hidden="1" x14ac:dyDescent="0.25">
      <c r="A419" t="s">
        <v>722</v>
      </c>
      <c r="B419" t="s">
        <v>109</v>
      </c>
      <c r="C419" t="s">
        <v>34</v>
      </c>
      <c r="D419">
        <v>25</v>
      </c>
      <c r="E419" s="1">
        <v>45058</v>
      </c>
      <c r="F419" t="s">
        <v>88</v>
      </c>
      <c r="G419" t="s">
        <v>26</v>
      </c>
      <c r="H419" t="str">
        <f>INDEX(Table1[Diagnosis],MATCH(I419,'codeand diagnosis'!$A$2:$A$11,0))</f>
        <v>Dental examination with radiology</v>
      </c>
      <c r="I419" t="s">
        <v>37</v>
      </c>
      <c r="J419" t="str">
        <f>INDEX(Table1[ICD-10 Code],MATCH(Table2[[#This Row],[Treatment]],Table1[Treatment Type],0))</f>
        <v>Z01.2</v>
      </c>
      <c r="K419" t="s">
        <v>28</v>
      </c>
      <c r="L419" t="s">
        <v>38</v>
      </c>
      <c r="M419" t="s">
        <v>29</v>
      </c>
      <c r="N419">
        <f>Table2[[#This Row],[Total Paid]]+Table2[[#This Row],[Due]]</f>
        <v>350</v>
      </c>
      <c r="O419">
        <v>0</v>
      </c>
      <c r="P419">
        <v>150</v>
      </c>
      <c r="Q419">
        <v>200</v>
      </c>
      <c r="R419">
        <v>0</v>
      </c>
      <c r="S419">
        <v>0</v>
      </c>
      <c r="T419">
        <v>350</v>
      </c>
      <c r="U419">
        <v>0</v>
      </c>
      <c r="V419">
        <v>350</v>
      </c>
      <c r="W419" t="s">
        <v>51</v>
      </c>
      <c r="X419" s="6" t="s">
        <v>720</v>
      </c>
    </row>
    <row r="420" spans="1:24" hidden="1" x14ac:dyDescent="0.25">
      <c r="A420" t="s">
        <v>723</v>
      </c>
      <c r="B420" t="s">
        <v>141</v>
      </c>
      <c r="C420" t="s">
        <v>34</v>
      </c>
      <c r="D420">
        <v>10</v>
      </c>
      <c r="E420" s="1">
        <v>45089</v>
      </c>
      <c r="F420" t="s">
        <v>25</v>
      </c>
      <c r="G420" t="s">
        <v>26</v>
      </c>
      <c r="H420" t="str">
        <f>INDEX(Table1[Diagnosis],MATCH(I420,'codeand diagnosis'!$A$2:$A$11,0))</f>
        <v>Dental examination with radiology</v>
      </c>
      <c r="I420" t="s">
        <v>37</v>
      </c>
      <c r="J420" t="str">
        <f>INDEX(Table1[ICD-10 Code],MATCH(Table2[[#This Row],[Treatment]],Table1[Treatment Type],0))</f>
        <v>Z01.2</v>
      </c>
      <c r="K420" t="s">
        <v>28</v>
      </c>
      <c r="L420" t="s">
        <v>38</v>
      </c>
      <c r="M420" t="s">
        <v>29</v>
      </c>
      <c r="N420">
        <f>Table2[[#This Row],[Total Paid]]+Table2[[#This Row],[Due]]</f>
        <v>350</v>
      </c>
      <c r="O420">
        <v>0</v>
      </c>
      <c r="P420">
        <v>150</v>
      </c>
      <c r="Q420">
        <v>200</v>
      </c>
      <c r="R420">
        <v>0</v>
      </c>
      <c r="S420">
        <v>0</v>
      </c>
      <c r="T420">
        <v>350</v>
      </c>
      <c r="U420">
        <v>0</v>
      </c>
      <c r="V420">
        <v>350</v>
      </c>
      <c r="W420" t="s">
        <v>30</v>
      </c>
      <c r="X420" s="6" t="s">
        <v>720</v>
      </c>
    </row>
    <row r="421" spans="1:24" hidden="1" x14ac:dyDescent="0.25">
      <c r="A421" t="s">
        <v>724</v>
      </c>
      <c r="B421" t="s">
        <v>171</v>
      </c>
      <c r="C421" t="s">
        <v>24</v>
      </c>
      <c r="D421">
        <v>70</v>
      </c>
      <c r="E421" s="1">
        <v>45089</v>
      </c>
      <c r="F421" t="s">
        <v>92</v>
      </c>
      <c r="G421" t="s">
        <v>26</v>
      </c>
      <c r="H421" t="str">
        <f>INDEX(Table1[Diagnosis],MATCH(I421,'codeand diagnosis'!$A$2:$A$11,0))</f>
        <v>Dental examination</v>
      </c>
      <c r="I421" t="s">
        <v>45</v>
      </c>
      <c r="J421" t="str">
        <f>INDEX(Table1[ICD-10 Code],MATCH(Table2[[#This Row],[Treatment]],Table1[Treatment Type],0))</f>
        <v>Z01.2</v>
      </c>
      <c r="K421" t="s">
        <v>28</v>
      </c>
      <c r="L421" t="s">
        <v>28</v>
      </c>
      <c r="M421" t="s">
        <v>29</v>
      </c>
      <c r="N421">
        <f>Table2[[#This Row],[Total Paid]]+Table2[[#This Row],[Due]]</f>
        <v>200</v>
      </c>
      <c r="O421">
        <v>0</v>
      </c>
      <c r="P421">
        <v>0</v>
      </c>
      <c r="Q421">
        <v>200</v>
      </c>
      <c r="R421">
        <v>0</v>
      </c>
      <c r="S421">
        <v>0</v>
      </c>
      <c r="T421">
        <v>200</v>
      </c>
      <c r="U421">
        <v>0</v>
      </c>
      <c r="V421">
        <v>200</v>
      </c>
      <c r="W421" t="s">
        <v>47</v>
      </c>
      <c r="X421" s="6" t="s">
        <v>720</v>
      </c>
    </row>
    <row r="422" spans="1:24" hidden="1" x14ac:dyDescent="0.25">
      <c r="A422" t="s">
        <v>725</v>
      </c>
      <c r="B422" t="s">
        <v>113</v>
      </c>
      <c r="C422" t="s">
        <v>24</v>
      </c>
      <c r="D422">
        <v>37</v>
      </c>
      <c r="E422" s="1">
        <v>45089</v>
      </c>
      <c r="F422" t="s">
        <v>50</v>
      </c>
      <c r="G422" t="s">
        <v>26</v>
      </c>
      <c r="H422" t="str">
        <f>INDEX(Table1[Diagnosis],MATCH(I422,'codeand diagnosis'!$A$2:$A$11,0))</f>
        <v>Dental examination with radiology</v>
      </c>
      <c r="I422" t="s">
        <v>37</v>
      </c>
      <c r="J422" t="str">
        <f>INDEX(Table1[ICD-10 Code],MATCH(Table2[[#This Row],[Treatment]],Table1[Treatment Type],0))</f>
        <v>Z01.2</v>
      </c>
      <c r="K422" t="s">
        <v>28</v>
      </c>
      <c r="L422" t="s">
        <v>38</v>
      </c>
      <c r="M422" t="s">
        <v>29</v>
      </c>
      <c r="N422">
        <f>Table2[[#This Row],[Total Paid]]+Table2[[#This Row],[Due]]</f>
        <v>350</v>
      </c>
      <c r="O422">
        <v>0</v>
      </c>
      <c r="P422">
        <v>150</v>
      </c>
      <c r="Q422">
        <v>200</v>
      </c>
      <c r="R422">
        <v>0</v>
      </c>
      <c r="S422">
        <v>0</v>
      </c>
      <c r="T422">
        <v>350</v>
      </c>
      <c r="U422">
        <v>0</v>
      </c>
      <c r="V422">
        <v>350</v>
      </c>
      <c r="W422" t="s">
        <v>42</v>
      </c>
      <c r="X422" s="6" t="s">
        <v>720</v>
      </c>
    </row>
    <row r="423" spans="1:24" hidden="1" x14ac:dyDescent="0.25">
      <c r="A423" t="s">
        <v>726</v>
      </c>
      <c r="B423" t="s">
        <v>262</v>
      </c>
      <c r="C423" t="s">
        <v>34</v>
      </c>
      <c r="D423">
        <v>45</v>
      </c>
      <c r="E423" s="1">
        <v>45089</v>
      </c>
      <c r="F423" t="s">
        <v>50</v>
      </c>
      <c r="G423" t="s">
        <v>26</v>
      </c>
      <c r="H423" t="str">
        <f>INDEX(Table1[Diagnosis],MATCH(I423,'codeand diagnosis'!$A$2:$A$11,0))</f>
        <v>Malocclusion</v>
      </c>
      <c r="I423" t="s">
        <v>89</v>
      </c>
      <c r="J423" t="str">
        <f>INDEX(Table1[ICD-10 Code],MATCH(Table2[[#This Row],[Treatment]],Table1[Treatment Type],0))</f>
        <v>K07.4</v>
      </c>
      <c r="K423" t="s">
        <v>28</v>
      </c>
      <c r="L423" t="s">
        <v>38</v>
      </c>
      <c r="M423" t="s">
        <v>29</v>
      </c>
      <c r="N423">
        <f>Table2[[#This Row],[Total Paid]]+Table2[[#This Row],[Due]]</f>
        <v>17426</v>
      </c>
      <c r="O423">
        <v>17426</v>
      </c>
      <c r="P423">
        <v>0</v>
      </c>
      <c r="Q423">
        <v>0</v>
      </c>
      <c r="R423">
        <v>3880</v>
      </c>
      <c r="S423">
        <v>0</v>
      </c>
      <c r="T423">
        <v>17426</v>
      </c>
      <c r="U423">
        <v>0</v>
      </c>
      <c r="V423">
        <v>13546</v>
      </c>
      <c r="W423" t="s">
        <v>42</v>
      </c>
      <c r="X423" s="6" t="s">
        <v>720</v>
      </c>
    </row>
    <row r="424" spans="1:24" hidden="1" x14ac:dyDescent="0.25">
      <c r="A424" t="s">
        <v>727</v>
      </c>
      <c r="B424" t="s">
        <v>207</v>
      </c>
      <c r="C424" t="s">
        <v>34</v>
      </c>
      <c r="D424">
        <v>42</v>
      </c>
      <c r="E424" s="1">
        <v>45150</v>
      </c>
      <c r="F424" t="s">
        <v>88</v>
      </c>
      <c r="G424" t="s">
        <v>26</v>
      </c>
      <c r="H424" t="str">
        <f>INDEX(Table1[Diagnosis],MATCH(I424,'codeand diagnosis'!$A$2:$A$11,0))</f>
        <v>Missing teeth</v>
      </c>
      <c r="I424" t="s">
        <v>78</v>
      </c>
      <c r="J424" t="str">
        <f>INDEX(Table1[ICD-10 Code],MATCH(Table2[[#This Row],[Treatment]],Table1[Treatment Type],0))</f>
        <v>K08.1</v>
      </c>
      <c r="K424" t="s">
        <v>28</v>
      </c>
      <c r="L424" t="s">
        <v>38</v>
      </c>
      <c r="M424" t="s">
        <v>46</v>
      </c>
      <c r="N424">
        <f>Table2[[#This Row],[Total Paid]]+Table2[[#This Row],[Due]]</f>
        <v>26277</v>
      </c>
      <c r="O424">
        <v>26277</v>
      </c>
      <c r="P424">
        <v>0</v>
      </c>
      <c r="Q424">
        <v>0</v>
      </c>
      <c r="R424">
        <v>6600</v>
      </c>
      <c r="S424">
        <v>0</v>
      </c>
      <c r="T424">
        <v>26277</v>
      </c>
      <c r="U424">
        <v>0</v>
      </c>
      <c r="V424">
        <v>19677</v>
      </c>
      <c r="W424" t="s">
        <v>42</v>
      </c>
      <c r="X424" s="6" t="s">
        <v>720</v>
      </c>
    </row>
    <row r="425" spans="1:24" hidden="1" x14ac:dyDescent="0.25">
      <c r="A425" t="s">
        <v>728</v>
      </c>
      <c r="B425" t="s">
        <v>73</v>
      </c>
      <c r="C425" t="s">
        <v>34</v>
      </c>
      <c r="D425">
        <v>56</v>
      </c>
      <c r="E425" s="1">
        <v>45150</v>
      </c>
      <c r="F425" t="s">
        <v>88</v>
      </c>
      <c r="G425" t="s">
        <v>26</v>
      </c>
      <c r="H425" t="str">
        <f>INDEX(Table1[Diagnosis],MATCH(I425,'codeand diagnosis'!$A$2:$A$11,0))</f>
        <v>Malocclusion</v>
      </c>
      <c r="I425" t="s">
        <v>89</v>
      </c>
      <c r="J425" t="str">
        <f>INDEX(Table1[ICD-10 Code],MATCH(Table2[[#This Row],[Treatment]],Table1[Treatment Type],0))</f>
        <v>K07.4</v>
      </c>
      <c r="K425" t="s">
        <v>28</v>
      </c>
      <c r="L425" t="s">
        <v>38</v>
      </c>
      <c r="M425" t="s">
        <v>29</v>
      </c>
      <c r="N425">
        <f>Table2[[#This Row],[Total Paid]]+Table2[[#This Row],[Due]]</f>
        <v>18196</v>
      </c>
      <c r="O425">
        <v>18196</v>
      </c>
      <c r="P425">
        <v>0</v>
      </c>
      <c r="Q425">
        <v>0</v>
      </c>
      <c r="R425">
        <v>4490</v>
      </c>
      <c r="S425">
        <v>0</v>
      </c>
      <c r="T425">
        <v>18196</v>
      </c>
      <c r="U425">
        <v>0</v>
      </c>
      <c r="V425">
        <v>13706</v>
      </c>
      <c r="W425" t="s">
        <v>47</v>
      </c>
      <c r="X425" s="6" t="s">
        <v>720</v>
      </c>
    </row>
    <row r="426" spans="1:24" hidden="1" x14ac:dyDescent="0.25">
      <c r="A426" t="s">
        <v>729</v>
      </c>
      <c r="B426" t="s">
        <v>294</v>
      </c>
      <c r="C426" t="s">
        <v>34</v>
      </c>
      <c r="D426">
        <v>19</v>
      </c>
      <c r="E426" s="1">
        <v>45150</v>
      </c>
      <c r="F426" t="s">
        <v>50</v>
      </c>
      <c r="G426" t="s">
        <v>36</v>
      </c>
      <c r="H426" t="str">
        <f>INDEX(Table1[Diagnosis],MATCH(I426,'codeand diagnosis'!$A$2:$A$11,0))</f>
        <v>Dental examination with radiology</v>
      </c>
      <c r="I426" t="s">
        <v>37</v>
      </c>
      <c r="J426" t="str">
        <f>INDEX(Table1[ICD-10 Code],MATCH(Table2[[#This Row],[Treatment]],Table1[Treatment Type],0))</f>
        <v>Z01.2</v>
      </c>
      <c r="K426" t="s">
        <v>28</v>
      </c>
      <c r="L426" t="s">
        <v>38</v>
      </c>
      <c r="M426" t="s">
        <v>29</v>
      </c>
      <c r="N426">
        <f>Table2[[#This Row],[Total Paid]]+Table2[[#This Row],[Due]]</f>
        <v>350</v>
      </c>
      <c r="O426">
        <v>0</v>
      </c>
      <c r="P426">
        <v>150</v>
      </c>
      <c r="Q426">
        <v>200</v>
      </c>
      <c r="R426">
        <v>0</v>
      </c>
      <c r="S426">
        <v>0</v>
      </c>
      <c r="T426">
        <v>350</v>
      </c>
      <c r="U426">
        <v>0</v>
      </c>
      <c r="V426">
        <v>350</v>
      </c>
      <c r="W426" t="s">
        <v>42</v>
      </c>
      <c r="X426" s="6" t="s">
        <v>720</v>
      </c>
    </row>
    <row r="427" spans="1:24" hidden="1" x14ac:dyDescent="0.25">
      <c r="A427" t="s">
        <v>730</v>
      </c>
      <c r="B427" t="s">
        <v>77</v>
      </c>
      <c r="C427" t="s">
        <v>34</v>
      </c>
      <c r="D427">
        <v>58</v>
      </c>
      <c r="E427" s="1">
        <v>45150</v>
      </c>
      <c r="F427" t="s">
        <v>88</v>
      </c>
      <c r="G427" t="s">
        <v>26</v>
      </c>
      <c r="H427" t="str">
        <f>INDEX(Table1[Diagnosis],MATCH(I427,'codeand diagnosis'!$A$2:$A$11,0))</f>
        <v>Dental examination with radiology</v>
      </c>
      <c r="I427" t="s">
        <v>37</v>
      </c>
      <c r="J427" t="str">
        <f>INDEX(Table1[ICD-10 Code],MATCH(Table2[[#This Row],[Treatment]],Table1[Treatment Type],0))</f>
        <v>Z01.2</v>
      </c>
      <c r="K427" t="s">
        <v>28</v>
      </c>
      <c r="L427" t="s">
        <v>38</v>
      </c>
      <c r="M427" t="s">
        <v>29</v>
      </c>
      <c r="N427">
        <f>Table2[[#This Row],[Total Paid]]+Table2[[#This Row],[Due]]</f>
        <v>350</v>
      </c>
      <c r="O427">
        <v>0</v>
      </c>
      <c r="P427">
        <v>150</v>
      </c>
      <c r="Q427">
        <v>200</v>
      </c>
      <c r="R427">
        <v>0</v>
      </c>
      <c r="S427">
        <v>0</v>
      </c>
      <c r="T427">
        <v>350</v>
      </c>
      <c r="U427">
        <v>0</v>
      </c>
      <c r="V427">
        <v>350</v>
      </c>
      <c r="W427" t="s">
        <v>47</v>
      </c>
      <c r="X427" s="6" t="s">
        <v>720</v>
      </c>
    </row>
    <row r="428" spans="1:24" hidden="1" x14ac:dyDescent="0.25">
      <c r="A428" t="s">
        <v>731</v>
      </c>
      <c r="B428" t="s">
        <v>296</v>
      </c>
      <c r="C428" t="s">
        <v>24</v>
      </c>
      <c r="D428">
        <v>53</v>
      </c>
      <c r="E428" s="1">
        <v>45181</v>
      </c>
      <c r="F428" t="s">
        <v>92</v>
      </c>
      <c r="G428" t="s">
        <v>26</v>
      </c>
      <c r="H428" t="str">
        <f>INDEX(Table1[Diagnosis],MATCH(I428,'codeand diagnosis'!$A$2:$A$11,0))</f>
        <v>Dental examination</v>
      </c>
      <c r="I428" t="s">
        <v>45</v>
      </c>
      <c r="J428" t="str">
        <f>INDEX(Table1[ICD-10 Code],MATCH(Table2[[#This Row],[Treatment]],Table1[Treatment Type],0))</f>
        <v>Z01.2</v>
      </c>
      <c r="K428" t="s">
        <v>28</v>
      </c>
      <c r="L428" t="s">
        <v>28</v>
      </c>
      <c r="M428" t="s">
        <v>29</v>
      </c>
      <c r="N428">
        <f>Table2[[#This Row],[Total Paid]]+Table2[[#This Row],[Due]]</f>
        <v>150</v>
      </c>
      <c r="O428">
        <v>0</v>
      </c>
      <c r="P428">
        <v>0</v>
      </c>
      <c r="Q428">
        <v>200</v>
      </c>
      <c r="R428">
        <v>0</v>
      </c>
      <c r="S428">
        <v>50</v>
      </c>
      <c r="T428">
        <v>150</v>
      </c>
      <c r="U428">
        <v>0</v>
      </c>
      <c r="V428">
        <v>150</v>
      </c>
      <c r="W428" t="s">
        <v>47</v>
      </c>
      <c r="X428" s="6" t="s">
        <v>720</v>
      </c>
    </row>
    <row r="429" spans="1:24" hidden="1" x14ac:dyDescent="0.25">
      <c r="A429" t="s">
        <v>732</v>
      </c>
      <c r="B429" t="s">
        <v>207</v>
      </c>
      <c r="C429" t="s">
        <v>34</v>
      </c>
      <c r="D429">
        <v>72</v>
      </c>
      <c r="E429" s="1">
        <v>45211</v>
      </c>
      <c r="F429" t="s">
        <v>35</v>
      </c>
      <c r="G429" t="s">
        <v>26</v>
      </c>
      <c r="H429" t="str">
        <f>INDEX(Table1[Diagnosis],MATCH(I429,'codeand diagnosis'!$A$2:$A$11,0))</f>
        <v>Dental examination with radiology</v>
      </c>
      <c r="I429" t="s">
        <v>37</v>
      </c>
      <c r="J429" t="str">
        <f>INDEX(Table1[ICD-10 Code],MATCH(Table2[[#This Row],[Treatment]],Table1[Treatment Type],0))</f>
        <v>Z01.2</v>
      </c>
      <c r="K429" t="s">
        <v>28</v>
      </c>
      <c r="L429" t="s">
        <v>38</v>
      </c>
      <c r="M429" t="s">
        <v>29</v>
      </c>
      <c r="N429">
        <f>Table2[[#This Row],[Total Paid]]+Table2[[#This Row],[Due]]</f>
        <v>210</v>
      </c>
      <c r="O429">
        <v>0</v>
      </c>
      <c r="P429">
        <v>150</v>
      </c>
      <c r="Q429">
        <v>200</v>
      </c>
      <c r="R429">
        <v>0</v>
      </c>
      <c r="S429">
        <v>140</v>
      </c>
      <c r="T429">
        <v>210</v>
      </c>
      <c r="U429">
        <v>0</v>
      </c>
      <c r="V429">
        <v>210</v>
      </c>
      <c r="W429" t="s">
        <v>51</v>
      </c>
      <c r="X429" s="6" t="s">
        <v>720</v>
      </c>
    </row>
    <row r="430" spans="1:24" hidden="1" x14ac:dyDescent="0.25">
      <c r="A430" t="s">
        <v>733</v>
      </c>
      <c r="B430" t="s">
        <v>91</v>
      </c>
      <c r="C430" t="s">
        <v>34</v>
      </c>
      <c r="D430">
        <v>59</v>
      </c>
      <c r="E430" s="1">
        <v>45242</v>
      </c>
      <c r="F430" t="s">
        <v>88</v>
      </c>
      <c r="G430" t="s">
        <v>26</v>
      </c>
      <c r="H430" t="str">
        <f>INDEX(Table1[Diagnosis],MATCH(I430,'codeand diagnosis'!$A$2:$A$11,0))</f>
        <v>Dental examination</v>
      </c>
      <c r="I430" t="s">
        <v>45</v>
      </c>
      <c r="J430" t="str">
        <f>INDEX(Table1[ICD-10 Code],MATCH(Table2[[#This Row],[Treatment]],Table1[Treatment Type],0))</f>
        <v>Z01.2</v>
      </c>
      <c r="K430" t="s">
        <v>28</v>
      </c>
      <c r="L430" t="s">
        <v>28</v>
      </c>
      <c r="M430" t="s">
        <v>46</v>
      </c>
      <c r="N430">
        <f>Table2[[#This Row],[Total Paid]]+Table2[[#This Row],[Due]]</f>
        <v>200</v>
      </c>
      <c r="O430">
        <v>0</v>
      </c>
      <c r="P430">
        <v>0</v>
      </c>
      <c r="Q430">
        <v>200</v>
      </c>
      <c r="R430">
        <v>0</v>
      </c>
      <c r="S430">
        <v>0</v>
      </c>
      <c r="T430">
        <v>200</v>
      </c>
      <c r="U430">
        <v>0</v>
      </c>
      <c r="V430">
        <v>200</v>
      </c>
      <c r="W430" t="s">
        <v>51</v>
      </c>
      <c r="X430" s="6" t="s">
        <v>720</v>
      </c>
    </row>
    <row r="431" spans="1:24" hidden="1" x14ac:dyDescent="0.25">
      <c r="A431" t="s">
        <v>734</v>
      </c>
      <c r="B431" t="s">
        <v>361</v>
      </c>
      <c r="C431" t="s">
        <v>34</v>
      </c>
      <c r="D431">
        <v>72</v>
      </c>
      <c r="E431" s="1">
        <v>45272</v>
      </c>
      <c r="F431" t="s">
        <v>50</v>
      </c>
      <c r="G431" t="s">
        <v>26</v>
      </c>
      <c r="H431" t="str">
        <f>INDEX(Table1[Diagnosis],MATCH(I431,'codeand diagnosis'!$A$2:$A$11,0))</f>
        <v>Dental examination with radiology</v>
      </c>
      <c r="I431" t="s">
        <v>37</v>
      </c>
      <c r="J431" t="str">
        <f>INDEX(Table1[ICD-10 Code],MATCH(Table2[[#This Row],[Treatment]],Table1[Treatment Type],0))</f>
        <v>Z01.2</v>
      </c>
      <c r="K431" t="s">
        <v>28</v>
      </c>
      <c r="L431" t="s">
        <v>38</v>
      </c>
      <c r="M431" t="s">
        <v>61</v>
      </c>
      <c r="N431">
        <f>Table2[[#This Row],[Total Paid]]+Table2[[#This Row],[Due]]</f>
        <v>350</v>
      </c>
      <c r="O431">
        <v>0</v>
      </c>
      <c r="P431">
        <v>150</v>
      </c>
      <c r="Q431">
        <v>200</v>
      </c>
      <c r="R431">
        <v>0</v>
      </c>
      <c r="S431">
        <v>0</v>
      </c>
      <c r="T431">
        <v>350</v>
      </c>
      <c r="U431">
        <v>0</v>
      </c>
      <c r="V431">
        <v>350</v>
      </c>
      <c r="W431" t="s">
        <v>51</v>
      </c>
      <c r="X431" s="6" t="s">
        <v>720</v>
      </c>
    </row>
    <row r="432" spans="1:24" hidden="1" x14ac:dyDescent="0.25">
      <c r="A432" t="s">
        <v>735</v>
      </c>
      <c r="B432" t="s">
        <v>414</v>
      </c>
      <c r="C432" t="s">
        <v>24</v>
      </c>
      <c r="D432">
        <v>16</v>
      </c>
      <c r="E432" s="1">
        <v>45272</v>
      </c>
      <c r="F432" t="s">
        <v>50</v>
      </c>
      <c r="G432" t="s">
        <v>36</v>
      </c>
      <c r="H432" t="str">
        <f>INDEX(Table1[Diagnosis],MATCH(I432,'codeand diagnosis'!$A$2:$A$11,0))</f>
        <v>Dental examination</v>
      </c>
      <c r="I432" t="s">
        <v>45</v>
      </c>
      <c r="J432" t="str">
        <f>INDEX(Table1[ICD-10 Code],MATCH(Table2[[#This Row],[Treatment]],Table1[Treatment Type],0))</f>
        <v>Z01.2</v>
      </c>
      <c r="K432" t="s">
        <v>28</v>
      </c>
      <c r="L432" t="s">
        <v>28</v>
      </c>
      <c r="M432" t="s">
        <v>29</v>
      </c>
      <c r="N432">
        <f>Table2[[#This Row],[Total Paid]]+Table2[[#This Row],[Due]]</f>
        <v>200</v>
      </c>
      <c r="O432">
        <v>0</v>
      </c>
      <c r="P432">
        <v>0</v>
      </c>
      <c r="Q432">
        <v>200</v>
      </c>
      <c r="R432">
        <v>0</v>
      </c>
      <c r="S432">
        <v>0</v>
      </c>
      <c r="T432">
        <v>200</v>
      </c>
      <c r="U432">
        <v>0</v>
      </c>
      <c r="V432">
        <v>200</v>
      </c>
      <c r="W432" t="s">
        <v>42</v>
      </c>
      <c r="X432" s="6" t="s">
        <v>720</v>
      </c>
    </row>
    <row r="433" spans="1:24" hidden="1" x14ac:dyDescent="0.25">
      <c r="A433" t="s">
        <v>736</v>
      </c>
      <c r="B433" t="s">
        <v>57</v>
      </c>
      <c r="C433" t="s">
        <v>24</v>
      </c>
      <c r="D433">
        <v>9</v>
      </c>
      <c r="E433" s="1">
        <v>45272</v>
      </c>
      <c r="F433" t="s">
        <v>88</v>
      </c>
      <c r="G433" t="s">
        <v>26</v>
      </c>
      <c r="H433" t="str">
        <f>INDEX(Table1[Diagnosis],MATCH(I433,'codeand diagnosis'!$A$2:$A$11,0))</f>
        <v>Missing teeth</v>
      </c>
      <c r="I433" t="s">
        <v>78</v>
      </c>
      <c r="J433" t="str">
        <f>INDEX(Table1[ICD-10 Code],MATCH(Table2[[#This Row],[Treatment]],Table1[Treatment Type],0))</f>
        <v>K08.1</v>
      </c>
      <c r="K433" t="s">
        <v>28</v>
      </c>
      <c r="L433" t="s">
        <v>38</v>
      </c>
      <c r="M433" t="s">
        <v>29</v>
      </c>
      <c r="N433">
        <f>Table2[[#This Row],[Total Paid]]+Table2[[#This Row],[Due]]</f>
        <v>27830</v>
      </c>
      <c r="O433">
        <v>27830</v>
      </c>
      <c r="P433">
        <v>0</v>
      </c>
      <c r="Q433">
        <v>0</v>
      </c>
      <c r="R433">
        <v>8840</v>
      </c>
      <c r="S433">
        <v>0</v>
      </c>
      <c r="T433">
        <v>27830</v>
      </c>
      <c r="U433">
        <v>0</v>
      </c>
      <c r="V433">
        <v>18990</v>
      </c>
      <c r="W433" t="s">
        <v>47</v>
      </c>
      <c r="X433" s="6" t="s">
        <v>720</v>
      </c>
    </row>
    <row r="434" spans="1:24" hidden="1" x14ac:dyDescent="0.25">
      <c r="A434" t="s">
        <v>737</v>
      </c>
      <c r="B434" t="s">
        <v>82</v>
      </c>
      <c r="C434" t="s">
        <v>24</v>
      </c>
      <c r="D434">
        <v>52</v>
      </c>
      <c r="E434" t="s">
        <v>738</v>
      </c>
      <c r="F434" t="s">
        <v>50</v>
      </c>
      <c r="G434" t="s">
        <v>36</v>
      </c>
      <c r="H434" t="str">
        <f>INDEX(Table1[Diagnosis],MATCH(I434,'codeand diagnosis'!$A$2:$A$11,0))</f>
        <v>Dental caries</v>
      </c>
      <c r="I434" t="s">
        <v>41</v>
      </c>
      <c r="J434" t="str">
        <f>INDEX(Table1[ICD-10 Code],MATCH(Table2[[#This Row],[Treatment]],Table1[Treatment Type],0))</f>
        <v>K02.9</v>
      </c>
      <c r="K434" t="s">
        <v>28</v>
      </c>
      <c r="L434" t="s">
        <v>28</v>
      </c>
      <c r="M434" t="s">
        <v>46</v>
      </c>
      <c r="N434">
        <f>Table2[[#This Row],[Total Paid]]+Table2[[#This Row],[Due]]</f>
        <v>1124</v>
      </c>
      <c r="O434">
        <v>1124</v>
      </c>
      <c r="P434">
        <v>0</v>
      </c>
      <c r="Q434">
        <v>0</v>
      </c>
      <c r="R434">
        <v>0</v>
      </c>
      <c r="S434">
        <v>0</v>
      </c>
      <c r="T434">
        <v>1124</v>
      </c>
      <c r="U434">
        <v>0</v>
      </c>
      <c r="V434">
        <v>1124</v>
      </c>
      <c r="W434" t="s">
        <v>47</v>
      </c>
      <c r="X434" s="6" t="s">
        <v>720</v>
      </c>
    </row>
    <row r="435" spans="1:24" hidden="1" x14ac:dyDescent="0.25">
      <c r="A435" t="s">
        <v>739</v>
      </c>
      <c r="B435" t="s">
        <v>243</v>
      </c>
      <c r="C435" t="s">
        <v>24</v>
      </c>
      <c r="D435">
        <v>14</v>
      </c>
      <c r="E435" t="s">
        <v>740</v>
      </c>
      <c r="F435" t="s">
        <v>35</v>
      </c>
      <c r="G435" t="s">
        <v>26</v>
      </c>
      <c r="H435" t="str">
        <f>INDEX(Table1[Diagnosis],MATCH(I435,'codeand diagnosis'!$A$2:$A$11,0))</f>
        <v>Dental examination with radiology</v>
      </c>
      <c r="I435" t="s">
        <v>37</v>
      </c>
      <c r="J435" t="str">
        <f>INDEX(Table1[ICD-10 Code],MATCH(Table2[[#This Row],[Treatment]],Table1[Treatment Type],0))</f>
        <v>Z01.2</v>
      </c>
      <c r="K435" t="s">
        <v>28</v>
      </c>
      <c r="L435" t="s">
        <v>38</v>
      </c>
      <c r="M435" t="s">
        <v>29</v>
      </c>
      <c r="N435">
        <f>Table2[[#This Row],[Total Paid]]+Table2[[#This Row],[Due]]</f>
        <v>350</v>
      </c>
      <c r="O435">
        <v>0</v>
      </c>
      <c r="P435">
        <v>150</v>
      </c>
      <c r="Q435">
        <v>200</v>
      </c>
      <c r="R435">
        <v>0</v>
      </c>
      <c r="S435">
        <v>0</v>
      </c>
      <c r="T435">
        <v>350</v>
      </c>
      <c r="U435">
        <v>0</v>
      </c>
      <c r="V435">
        <v>350</v>
      </c>
      <c r="W435" t="s">
        <v>47</v>
      </c>
      <c r="X435" s="6" t="s">
        <v>720</v>
      </c>
    </row>
    <row r="436" spans="1:24" hidden="1" x14ac:dyDescent="0.25">
      <c r="A436" t="s">
        <v>741</v>
      </c>
      <c r="B436" t="s">
        <v>177</v>
      </c>
      <c r="C436" t="s">
        <v>34</v>
      </c>
      <c r="D436">
        <v>7</v>
      </c>
      <c r="E436" t="s">
        <v>742</v>
      </c>
      <c r="F436" t="s">
        <v>359</v>
      </c>
      <c r="G436" t="s">
        <v>36</v>
      </c>
      <c r="H436" t="str">
        <f>INDEX(Table1[Diagnosis],MATCH(I436,'codeand diagnosis'!$A$2:$A$11,0))</f>
        <v>Dental examination with radiology</v>
      </c>
      <c r="I436" t="s">
        <v>37</v>
      </c>
      <c r="J436" t="str">
        <f>INDEX(Table1[ICD-10 Code],MATCH(Table2[[#This Row],[Treatment]],Table1[Treatment Type],0))</f>
        <v>Z01.2</v>
      </c>
      <c r="K436" t="s">
        <v>28</v>
      </c>
      <c r="L436" t="s">
        <v>38</v>
      </c>
      <c r="M436" t="s">
        <v>29</v>
      </c>
      <c r="N436">
        <f>Table2[[#This Row],[Total Paid]]+Table2[[#This Row],[Due]]</f>
        <v>210</v>
      </c>
      <c r="O436">
        <v>0</v>
      </c>
      <c r="P436">
        <v>150</v>
      </c>
      <c r="Q436">
        <v>200</v>
      </c>
      <c r="R436">
        <v>0</v>
      </c>
      <c r="S436">
        <v>140</v>
      </c>
      <c r="T436">
        <v>210</v>
      </c>
      <c r="U436">
        <v>0</v>
      </c>
      <c r="V436">
        <v>210</v>
      </c>
      <c r="W436" t="s">
        <v>51</v>
      </c>
      <c r="X436" s="6" t="s">
        <v>720</v>
      </c>
    </row>
    <row r="437" spans="1:24" hidden="1" x14ac:dyDescent="0.25">
      <c r="A437" t="s">
        <v>743</v>
      </c>
      <c r="B437" t="s">
        <v>369</v>
      </c>
      <c r="C437" t="s">
        <v>24</v>
      </c>
      <c r="D437">
        <v>6</v>
      </c>
      <c r="E437" t="s">
        <v>742</v>
      </c>
      <c r="F437" t="s">
        <v>50</v>
      </c>
      <c r="G437" t="s">
        <v>26</v>
      </c>
      <c r="H437" t="str">
        <f>INDEX(Table1[Diagnosis],MATCH(I437,'codeand diagnosis'!$A$2:$A$11,0))</f>
        <v>Dental examination</v>
      </c>
      <c r="I437" t="s">
        <v>45</v>
      </c>
      <c r="J437" t="str">
        <f>INDEX(Table1[ICD-10 Code],MATCH(Table2[[#This Row],[Treatment]],Table1[Treatment Type],0))</f>
        <v>Z01.2</v>
      </c>
      <c r="K437" t="s">
        <v>28</v>
      </c>
      <c r="L437" t="s">
        <v>28</v>
      </c>
      <c r="M437" t="s">
        <v>29</v>
      </c>
      <c r="N437">
        <f>Table2[[#This Row],[Total Paid]]+Table2[[#This Row],[Due]]</f>
        <v>200</v>
      </c>
      <c r="O437">
        <v>0</v>
      </c>
      <c r="P437">
        <v>0</v>
      </c>
      <c r="Q437">
        <v>200</v>
      </c>
      <c r="R437">
        <v>0</v>
      </c>
      <c r="S437">
        <v>0</v>
      </c>
      <c r="T437">
        <v>200</v>
      </c>
      <c r="U437">
        <v>0</v>
      </c>
      <c r="V437">
        <v>200</v>
      </c>
      <c r="W437" t="s">
        <v>51</v>
      </c>
      <c r="X437" s="6" t="s">
        <v>720</v>
      </c>
    </row>
    <row r="438" spans="1:24" hidden="1" x14ac:dyDescent="0.25">
      <c r="A438" t="s">
        <v>744</v>
      </c>
      <c r="B438" t="s">
        <v>103</v>
      </c>
      <c r="C438" t="s">
        <v>34</v>
      </c>
      <c r="D438">
        <v>74</v>
      </c>
      <c r="E438" t="s">
        <v>742</v>
      </c>
      <c r="F438" t="s">
        <v>104</v>
      </c>
      <c r="G438" t="s">
        <v>36</v>
      </c>
      <c r="H438" t="str">
        <f>INDEX(Table1[Diagnosis],MATCH(I438,'codeand diagnosis'!$A$2:$A$11,0))</f>
        <v>Dental examination with radiology</v>
      </c>
      <c r="I438" t="s">
        <v>37</v>
      </c>
      <c r="J438" t="str">
        <f>INDEX(Table1[ICD-10 Code],MATCH(Table2[[#This Row],[Treatment]],Table1[Treatment Type],0))</f>
        <v>Z01.2</v>
      </c>
      <c r="K438" t="s">
        <v>28</v>
      </c>
      <c r="L438" t="s">
        <v>38</v>
      </c>
      <c r="M438" t="s">
        <v>46</v>
      </c>
      <c r="N438">
        <f>Table2[[#This Row],[Total Paid]]+Table2[[#This Row],[Due]]</f>
        <v>210</v>
      </c>
      <c r="O438">
        <v>0</v>
      </c>
      <c r="P438">
        <v>150</v>
      </c>
      <c r="Q438">
        <v>200</v>
      </c>
      <c r="R438">
        <v>0</v>
      </c>
      <c r="S438">
        <v>140</v>
      </c>
      <c r="T438">
        <v>210</v>
      </c>
      <c r="U438">
        <v>0</v>
      </c>
      <c r="V438">
        <v>210</v>
      </c>
      <c r="W438" t="s">
        <v>47</v>
      </c>
      <c r="X438" s="6" t="s">
        <v>720</v>
      </c>
    </row>
    <row r="439" spans="1:24" hidden="1" x14ac:dyDescent="0.25">
      <c r="A439" t="s">
        <v>745</v>
      </c>
      <c r="B439" t="s">
        <v>73</v>
      </c>
      <c r="C439" t="s">
        <v>34</v>
      </c>
      <c r="D439">
        <v>49</v>
      </c>
      <c r="E439" t="s">
        <v>746</v>
      </c>
      <c r="F439" t="s">
        <v>35</v>
      </c>
      <c r="G439" t="s">
        <v>26</v>
      </c>
      <c r="H439" t="str">
        <f>INDEX(Table1[Diagnosis],MATCH(I439,'codeand diagnosis'!$A$2:$A$11,0))</f>
        <v>Dental examination with radiology</v>
      </c>
      <c r="I439" t="s">
        <v>37</v>
      </c>
      <c r="J439" t="str">
        <f>INDEX(Table1[ICD-10 Code],MATCH(Table2[[#This Row],[Treatment]],Table1[Treatment Type],0))</f>
        <v>Z01.2</v>
      </c>
      <c r="K439" t="s">
        <v>28</v>
      </c>
      <c r="L439" t="s">
        <v>38</v>
      </c>
      <c r="M439" t="s">
        <v>29</v>
      </c>
      <c r="N439">
        <f>Table2[[#This Row],[Total Paid]]+Table2[[#This Row],[Due]]</f>
        <v>300</v>
      </c>
      <c r="O439">
        <v>0</v>
      </c>
      <c r="P439">
        <v>150</v>
      </c>
      <c r="Q439">
        <v>200</v>
      </c>
      <c r="R439">
        <v>0</v>
      </c>
      <c r="S439">
        <v>50</v>
      </c>
      <c r="T439">
        <v>300</v>
      </c>
      <c r="U439">
        <v>0</v>
      </c>
      <c r="V439">
        <v>300</v>
      </c>
      <c r="W439" t="s">
        <v>42</v>
      </c>
      <c r="X439" s="6" t="s">
        <v>720</v>
      </c>
    </row>
    <row r="440" spans="1:24" hidden="1" x14ac:dyDescent="0.25">
      <c r="A440" t="s">
        <v>747</v>
      </c>
      <c r="B440" t="s">
        <v>275</v>
      </c>
      <c r="C440" t="s">
        <v>34</v>
      </c>
      <c r="D440">
        <v>49</v>
      </c>
      <c r="E440" t="s">
        <v>746</v>
      </c>
      <c r="F440" t="s">
        <v>50</v>
      </c>
      <c r="G440" t="s">
        <v>26</v>
      </c>
      <c r="H440" t="str">
        <f>INDEX(Table1[Diagnosis],MATCH(I440,'codeand diagnosis'!$A$2:$A$11,0))</f>
        <v>Missing teeth</v>
      </c>
      <c r="I440" t="s">
        <v>78</v>
      </c>
      <c r="J440" t="str">
        <f>INDEX(Table1[ICD-10 Code],MATCH(Table2[[#This Row],[Treatment]],Table1[Treatment Type],0))</f>
        <v>K08.1</v>
      </c>
      <c r="K440" t="s">
        <v>28</v>
      </c>
      <c r="L440" t="s">
        <v>38</v>
      </c>
      <c r="M440" t="s">
        <v>29</v>
      </c>
      <c r="N440">
        <f>Table2[[#This Row],[Total Paid]]+Table2[[#This Row],[Due]]</f>
        <v>26853</v>
      </c>
      <c r="O440">
        <v>26853</v>
      </c>
      <c r="P440">
        <v>0</v>
      </c>
      <c r="Q440">
        <v>0</v>
      </c>
      <c r="R440">
        <v>5540</v>
      </c>
      <c r="S440">
        <v>0</v>
      </c>
      <c r="T440">
        <v>26853</v>
      </c>
      <c r="U440">
        <v>0</v>
      </c>
      <c r="V440">
        <v>21313</v>
      </c>
      <c r="W440" t="s">
        <v>51</v>
      </c>
      <c r="X440" s="6" t="s">
        <v>720</v>
      </c>
    </row>
    <row r="441" spans="1:24" hidden="1" x14ac:dyDescent="0.25">
      <c r="A441" t="s">
        <v>748</v>
      </c>
      <c r="B441" t="s">
        <v>611</v>
      </c>
      <c r="C441" t="s">
        <v>34</v>
      </c>
      <c r="D441">
        <v>80</v>
      </c>
      <c r="E441" t="s">
        <v>746</v>
      </c>
      <c r="F441" t="s">
        <v>88</v>
      </c>
      <c r="G441" t="s">
        <v>26</v>
      </c>
      <c r="H441" t="str">
        <f>INDEX(Table1[Diagnosis],MATCH(I441,'codeand diagnosis'!$A$2:$A$11,0))</f>
        <v>Gingivitis</v>
      </c>
      <c r="I441" t="s">
        <v>27</v>
      </c>
      <c r="J441" t="str">
        <f>INDEX(Table1[ICD-10 Code],MATCH(Table2[[#This Row],[Treatment]],Table1[Treatment Type],0))</f>
        <v>K05.10</v>
      </c>
      <c r="K441" t="s">
        <v>28</v>
      </c>
      <c r="L441" t="s">
        <v>38</v>
      </c>
      <c r="M441" t="s">
        <v>29</v>
      </c>
      <c r="N441">
        <f>Table2[[#This Row],[Total Paid]]+Table2[[#This Row],[Due]]</f>
        <v>459</v>
      </c>
      <c r="O441">
        <v>459</v>
      </c>
      <c r="P441">
        <v>0</v>
      </c>
      <c r="Q441">
        <v>0</v>
      </c>
      <c r="R441">
        <v>0</v>
      </c>
      <c r="S441">
        <v>0</v>
      </c>
      <c r="T441">
        <v>459</v>
      </c>
      <c r="U441">
        <v>0</v>
      </c>
      <c r="V441">
        <v>459</v>
      </c>
      <c r="W441" t="s">
        <v>30</v>
      </c>
      <c r="X441" s="6" t="s">
        <v>720</v>
      </c>
    </row>
    <row r="442" spans="1:24" hidden="1" x14ac:dyDescent="0.25">
      <c r="A442" t="s">
        <v>749</v>
      </c>
      <c r="B442" t="s">
        <v>284</v>
      </c>
      <c r="C442" t="s">
        <v>34</v>
      </c>
      <c r="D442">
        <v>37</v>
      </c>
      <c r="E442" t="s">
        <v>750</v>
      </c>
      <c r="F442" t="s">
        <v>88</v>
      </c>
      <c r="G442" t="s">
        <v>26</v>
      </c>
      <c r="H442" t="str">
        <f>INDEX(Table1[Diagnosis],MATCH(I442,'codeand diagnosis'!$A$2:$A$11,0))</f>
        <v>Dental examination</v>
      </c>
      <c r="I442" t="s">
        <v>45</v>
      </c>
      <c r="J442" t="str">
        <f>INDEX(Table1[ICD-10 Code],MATCH(Table2[[#This Row],[Treatment]],Table1[Treatment Type],0))</f>
        <v>Z01.2</v>
      </c>
      <c r="K442" t="s">
        <v>28</v>
      </c>
      <c r="L442" t="s">
        <v>28</v>
      </c>
      <c r="M442" t="s">
        <v>29</v>
      </c>
      <c r="N442">
        <f>Table2[[#This Row],[Total Paid]]+Table2[[#This Row],[Due]]</f>
        <v>200</v>
      </c>
      <c r="O442">
        <v>0</v>
      </c>
      <c r="P442">
        <v>0</v>
      </c>
      <c r="Q442">
        <v>200</v>
      </c>
      <c r="R442">
        <v>0</v>
      </c>
      <c r="S442">
        <v>0</v>
      </c>
      <c r="T442">
        <v>200</v>
      </c>
      <c r="U442">
        <v>0</v>
      </c>
      <c r="V442">
        <v>200</v>
      </c>
      <c r="W442" t="s">
        <v>47</v>
      </c>
      <c r="X442" s="6" t="s">
        <v>720</v>
      </c>
    </row>
    <row r="443" spans="1:24" hidden="1" x14ac:dyDescent="0.25">
      <c r="A443" t="s">
        <v>751</v>
      </c>
      <c r="B443" t="s">
        <v>268</v>
      </c>
      <c r="C443" t="s">
        <v>34</v>
      </c>
      <c r="D443">
        <v>80</v>
      </c>
      <c r="E443" t="s">
        <v>752</v>
      </c>
      <c r="F443" t="s">
        <v>88</v>
      </c>
      <c r="G443" t="s">
        <v>26</v>
      </c>
      <c r="H443" t="str">
        <f>INDEX(Table1[Diagnosis],MATCH(I443,'codeand diagnosis'!$A$2:$A$11,0))</f>
        <v>Dental examination</v>
      </c>
      <c r="I443" t="s">
        <v>45</v>
      </c>
      <c r="J443" t="str">
        <f>INDEX(Table1[ICD-10 Code],MATCH(Table2[[#This Row],[Treatment]],Table1[Treatment Type],0))</f>
        <v>Z01.2</v>
      </c>
      <c r="K443" t="s">
        <v>28</v>
      </c>
      <c r="L443" t="s">
        <v>28</v>
      </c>
      <c r="M443" t="s">
        <v>29</v>
      </c>
      <c r="N443">
        <f>Table2[[#This Row],[Total Paid]]+Table2[[#This Row],[Due]]</f>
        <v>200</v>
      </c>
      <c r="O443">
        <v>0</v>
      </c>
      <c r="P443">
        <v>0</v>
      </c>
      <c r="Q443">
        <v>200</v>
      </c>
      <c r="R443">
        <v>0</v>
      </c>
      <c r="S443">
        <v>0</v>
      </c>
      <c r="T443">
        <v>200</v>
      </c>
      <c r="U443">
        <v>0</v>
      </c>
      <c r="V443">
        <v>200</v>
      </c>
      <c r="W443" t="s">
        <v>30</v>
      </c>
      <c r="X443" s="6" t="s">
        <v>720</v>
      </c>
    </row>
    <row r="444" spans="1:24" hidden="1" x14ac:dyDescent="0.25">
      <c r="A444" t="s">
        <v>753</v>
      </c>
      <c r="B444" t="s">
        <v>59</v>
      </c>
      <c r="C444" t="s">
        <v>34</v>
      </c>
      <c r="D444">
        <v>25</v>
      </c>
      <c r="E444" t="s">
        <v>752</v>
      </c>
      <c r="F444" t="s">
        <v>88</v>
      </c>
      <c r="G444" t="s">
        <v>26</v>
      </c>
      <c r="H444" t="str">
        <f>INDEX(Table1[Diagnosis],MATCH(I444,'codeand diagnosis'!$A$2:$A$11,0))</f>
        <v>Dental examination with radiology</v>
      </c>
      <c r="I444" t="s">
        <v>37</v>
      </c>
      <c r="J444" t="str">
        <f>INDEX(Table1[ICD-10 Code],MATCH(Table2[[#This Row],[Treatment]],Table1[Treatment Type],0))</f>
        <v>Z01.2</v>
      </c>
      <c r="K444" t="s">
        <v>28</v>
      </c>
      <c r="L444" t="s">
        <v>38</v>
      </c>
      <c r="M444" t="s">
        <v>61</v>
      </c>
      <c r="N444">
        <f>Table2[[#This Row],[Total Paid]]+Table2[[#This Row],[Due]]</f>
        <v>210</v>
      </c>
      <c r="O444">
        <v>0</v>
      </c>
      <c r="P444">
        <v>150</v>
      </c>
      <c r="Q444">
        <v>200</v>
      </c>
      <c r="R444">
        <v>0</v>
      </c>
      <c r="S444">
        <v>140</v>
      </c>
      <c r="T444">
        <v>210</v>
      </c>
      <c r="U444">
        <v>0</v>
      </c>
      <c r="V444">
        <v>210</v>
      </c>
      <c r="W444" t="s">
        <v>47</v>
      </c>
      <c r="X444" s="6" t="s">
        <v>720</v>
      </c>
    </row>
    <row r="445" spans="1:24" hidden="1" x14ac:dyDescent="0.25">
      <c r="A445" t="s">
        <v>754</v>
      </c>
      <c r="B445" t="s">
        <v>131</v>
      </c>
      <c r="C445" t="s">
        <v>34</v>
      </c>
      <c r="D445">
        <v>70</v>
      </c>
      <c r="E445" t="s">
        <v>755</v>
      </c>
      <c r="F445" t="s">
        <v>88</v>
      </c>
      <c r="G445" t="s">
        <v>26</v>
      </c>
      <c r="H445" t="str">
        <f>INDEX(Table1[Diagnosis],MATCH(I445,'codeand diagnosis'!$A$2:$A$11,0))</f>
        <v>Pulpitis</v>
      </c>
      <c r="I445" t="s">
        <v>111</v>
      </c>
      <c r="J445" t="str">
        <f>INDEX(Table1[ICD-10 Code],MATCH(Table2[[#This Row],[Treatment]],Table1[Treatment Type],0))</f>
        <v>K04.0</v>
      </c>
      <c r="K445" t="s">
        <v>28</v>
      </c>
      <c r="L445" t="s">
        <v>38</v>
      </c>
      <c r="M445" t="s">
        <v>29</v>
      </c>
      <c r="N445">
        <f>Table2[[#This Row],[Total Paid]]+Table2[[#This Row],[Due]]</f>
        <v>2770</v>
      </c>
      <c r="O445">
        <v>2770</v>
      </c>
      <c r="P445">
        <v>0</v>
      </c>
      <c r="Q445">
        <v>0</v>
      </c>
      <c r="R445">
        <v>0</v>
      </c>
      <c r="S445">
        <v>0</v>
      </c>
      <c r="T445">
        <v>2770</v>
      </c>
      <c r="U445">
        <v>0</v>
      </c>
      <c r="V445">
        <v>2770</v>
      </c>
      <c r="W445" t="s">
        <v>51</v>
      </c>
      <c r="X445" s="6" t="s">
        <v>720</v>
      </c>
    </row>
    <row r="446" spans="1:24" hidden="1" x14ac:dyDescent="0.25">
      <c r="A446" t="s">
        <v>756</v>
      </c>
      <c r="B446" t="s">
        <v>137</v>
      </c>
      <c r="C446" t="s">
        <v>24</v>
      </c>
      <c r="D446">
        <v>31</v>
      </c>
      <c r="E446" t="s">
        <v>755</v>
      </c>
      <c r="F446" t="s">
        <v>54</v>
      </c>
      <c r="G446" t="s">
        <v>26</v>
      </c>
      <c r="H446" t="str">
        <f>INDEX(Table1[Diagnosis],MATCH(I446,'codeand diagnosis'!$A$2:$A$11,0))</f>
        <v>Malocclusion</v>
      </c>
      <c r="I446" t="s">
        <v>89</v>
      </c>
      <c r="J446" t="str">
        <f>INDEX(Table1[ICD-10 Code],MATCH(Table2[[#This Row],[Treatment]],Table1[Treatment Type],0))</f>
        <v>K07.4</v>
      </c>
      <c r="K446" t="s">
        <v>28</v>
      </c>
      <c r="L446" t="s">
        <v>38</v>
      </c>
      <c r="M446" t="s">
        <v>29</v>
      </c>
      <c r="N446">
        <f>Table2[[#This Row],[Total Paid]]+Table2[[#This Row],[Due]]</f>
        <v>17345</v>
      </c>
      <c r="O446">
        <v>17345</v>
      </c>
      <c r="P446">
        <v>0</v>
      </c>
      <c r="Q446">
        <v>0</v>
      </c>
      <c r="R446">
        <v>3920</v>
      </c>
      <c r="S446">
        <v>0</v>
      </c>
      <c r="T446">
        <v>17345</v>
      </c>
      <c r="U446">
        <v>0</v>
      </c>
      <c r="V446">
        <v>13425</v>
      </c>
      <c r="W446" t="s">
        <v>42</v>
      </c>
      <c r="X446" s="6" t="s">
        <v>720</v>
      </c>
    </row>
    <row r="447" spans="1:24" hidden="1" x14ac:dyDescent="0.25">
      <c r="A447" t="s">
        <v>757</v>
      </c>
      <c r="B447" t="s">
        <v>363</v>
      </c>
      <c r="C447" t="s">
        <v>34</v>
      </c>
      <c r="D447">
        <v>80</v>
      </c>
      <c r="E447" t="s">
        <v>755</v>
      </c>
      <c r="F447" t="s">
        <v>88</v>
      </c>
      <c r="G447" t="s">
        <v>36</v>
      </c>
      <c r="H447" t="str">
        <f>INDEX(Table1[Diagnosis],MATCH(I447,'codeand diagnosis'!$A$2:$A$11,0))</f>
        <v>Dental examination</v>
      </c>
      <c r="I447" t="s">
        <v>45</v>
      </c>
      <c r="J447" t="str">
        <f>INDEX(Table1[ICD-10 Code],MATCH(Table2[[#This Row],[Treatment]],Table1[Treatment Type],0))</f>
        <v>Z01.2</v>
      </c>
      <c r="K447" t="s">
        <v>28</v>
      </c>
      <c r="L447" t="s">
        <v>28</v>
      </c>
      <c r="M447" t="s">
        <v>29</v>
      </c>
      <c r="N447">
        <f>Table2[[#This Row],[Total Paid]]+Table2[[#This Row],[Due]]</f>
        <v>200</v>
      </c>
      <c r="O447">
        <v>0</v>
      </c>
      <c r="P447">
        <v>0</v>
      </c>
      <c r="Q447">
        <v>200</v>
      </c>
      <c r="R447">
        <v>0</v>
      </c>
      <c r="S447">
        <v>0</v>
      </c>
      <c r="T447">
        <v>200</v>
      </c>
      <c r="U447">
        <v>0</v>
      </c>
      <c r="V447">
        <v>200</v>
      </c>
      <c r="W447" t="s">
        <v>47</v>
      </c>
      <c r="X447" s="6" t="s">
        <v>720</v>
      </c>
    </row>
    <row r="448" spans="1:24" hidden="1" x14ac:dyDescent="0.25">
      <c r="A448" t="s">
        <v>758</v>
      </c>
      <c r="B448" t="s">
        <v>67</v>
      </c>
      <c r="C448" t="s">
        <v>24</v>
      </c>
      <c r="D448">
        <v>40</v>
      </c>
      <c r="E448" t="s">
        <v>759</v>
      </c>
      <c r="F448" t="s">
        <v>92</v>
      </c>
      <c r="G448" t="s">
        <v>36</v>
      </c>
      <c r="H448" t="str">
        <f>INDEX(Table1[Diagnosis],MATCH(I448,'codeand diagnosis'!$A$2:$A$11,0))</f>
        <v>Dental examination</v>
      </c>
      <c r="I448" t="s">
        <v>45</v>
      </c>
      <c r="J448" t="str">
        <f>INDEX(Table1[ICD-10 Code],MATCH(Table2[[#This Row],[Treatment]],Table1[Treatment Type],0))</f>
        <v>Z01.2</v>
      </c>
      <c r="K448" t="s">
        <v>28</v>
      </c>
      <c r="L448" t="s">
        <v>28</v>
      </c>
      <c r="M448" t="s">
        <v>46</v>
      </c>
      <c r="N448">
        <f>Table2[[#This Row],[Total Paid]]+Table2[[#This Row],[Due]]</f>
        <v>200</v>
      </c>
      <c r="O448">
        <v>0</v>
      </c>
      <c r="P448">
        <v>0</v>
      </c>
      <c r="Q448">
        <v>200</v>
      </c>
      <c r="R448">
        <v>0</v>
      </c>
      <c r="S448">
        <v>0</v>
      </c>
      <c r="T448">
        <v>200</v>
      </c>
      <c r="U448">
        <v>0</v>
      </c>
      <c r="V448">
        <v>200</v>
      </c>
      <c r="W448" t="s">
        <v>51</v>
      </c>
      <c r="X448" s="6" t="s">
        <v>720</v>
      </c>
    </row>
    <row r="449" spans="1:24" hidden="1" x14ac:dyDescent="0.25">
      <c r="A449" t="s">
        <v>760</v>
      </c>
      <c r="B449" t="s">
        <v>128</v>
      </c>
      <c r="C449" t="s">
        <v>24</v>
      </c>
      <c r="D449">
        <v>73</v>
      </c>
      <c r="E449" t="s">
        <v>759</v>
      </c>
      <c r="F449" t="s">
        <v>35</v>
      </c>
      <c r="G449" t="s">
        <v>26</v>
      </c>
      <c r="H449" t="str">
        <f>INDEX(Table1[Diagnosis],MATCH(I449,'codeand diagnosis'!$A$2:$A$11,0))</f>
        <v>Cosmetic procedure</v>
      </c>
      <c r="I449" t="s">
        <v>55</v>
      </c>
      <c r="J449" t="str">
        <f>INDEX(Table1[ICD-10 Code],MATCH(Table2[[#This Row],[Treatment]],Table1[Treatment Type],0))</f>
        <v>Z41.1</v>
      </c>
      <c r="K449" t="s">
        <v>28</v>
      </c>
      <c r="L449" t="s">
        <v>28</v>
      </c>
      <c r="M449" t="s">
        <v>29</v>
      </c>
      <c r="N449">
        <f>Table2[[#This Row],[Total Paid]]+Table2[[#This Row],[Due]]</f>
        <v>1260</v>
      </c>
      <c r="O449">
        <v>1260</v>
      </c>
      <c r="P449">
        <v>0</v>
      </c>
      <c r="Q449">
        <v>0</v>
      </c>
      <c r="R449">
        <v>0</v>
      </c>
      <c r="S449">
        <v>0</v>
      </c>
      <c r="T449">
        <v>1260</v>
      </c>
      <c r="U449">
        <v>0</v>
      </c>
      <c r="V449">
        <v>1260</v>
      </c>
      <c r="W449" t="s">
        <v>42</v>
      </c>
      <c r="X449" s="6" t="s">
        <v>720</v>
      </c>
    </row>
    <row r="450" spans="1:24" hidden="1" x14ac:dyDescent="0.25">
      <c r="A450" t="s">
        <v>761</v>
      </c>
      <c r="B450" t="s">
        <v>128</v>
      </c>
      <c r="C450" t="s">
        <v>24</v>
      </c>
      <c r="D450">
        <v>44</v>
      </c>
      <c r="E450" t="s">
        <v>762</v>
      </c>
      <c r="F450" t="s">
        <v>50</v>
      </c>
      <c r="G450" t="s">
        <v>26</v>
      </c>
      <c r="H450" t="str">
        <f>INDEX(Table1[Diagnosis],MATCH(I450,'codeand diagnosis'!$A$2:$A$11,0))</f>
        <v>Dental examination with radiology</v>
      </c>
      <c r="I450" t="s">
        <v>37</v>
      </c>
      <c r="J450" t="str">
        <f>INDEX(Table1[ICD-10 Code],MATCH(Table2[[#This Row],[Treatment]],Table1[Treatment Type],0))</f>
        <v>Z01.2</v>
      </c>
      <c r="K450" t="s">
        <v>28</v>
      </c>
      <c r="L450" t="s">
        <v>38</v>
      </c>
      <c r="M450" t="s">
        <v>29</v>
      </c>
      <c r="N450">
        <f>Table2[[#This Row],[Total Paid]]+Table2[[#This Row],[Due]]</f>
        <v>350</v>
      </c>
      <c r="O450">
        <v>0</v>
      </c>
      <c r="P450">
        <v>150</v>
      </c>
      <c r="Q450">
        <v>200</v>
      </c>
      <c r="R450">
        <v>0</v>
      </c>
      <c r="S450">
        <v>0</v>
      </c>
      <c r="T450">
        <v>350</v>
      </c>
      <c r="U450">
        <v>0</v>
      </c>
      <c r="V450">
        <v>350</v>
      </c>
      <c r="W450" t="s">
        <v>42</v>
      </c>
      <c r="X450" s="6" t="s">
        <v>720</v>
      </c>
    </row>
    <row r="451" spans="1:24" hidden="1" x14ac:dyDescent="0.25">
      <c r="A451" t="s">
        <v>763</v>
      </c>
      <c r="B451" t="s">
        <v>106</v>
      </c>
      <c r="C451" t="s">
        <v>24</v>
      </c>
      <c r="D451">
        <v>33</v>
      </c>
      <c r="E451" t="s">
        <v>762</v>
      </c>
      <c r="F451" t="s">
        <v>50</v>
      </c>
      <c r="G451" t="s">
        <v>26</v>
      </c>
      <c r="H451" t="str">
        <f>INDEX(Table1[Diagnosis],MATCH(I451,'codeand diagnosis'!$A$2:$A$11,0))</f>
        <v>Dental examination with radiology</v>
      </c>
      <c r="I451" t="s">
        <v>37</v>
      </c>
      <c r="J451" t="str">
        <f>INDEX(Table1[ICD-10 Code],MATCH(Table2[[#This Row],[Treatment]],Table1[Treatment Type],0))</f>
        <v>Z01.2</v>
      </c>
      <c r="K451" t="s">
        <v>28</v>
      </c>
      <c r="L451" t="s">
        <v>38</v>
      </c>
      <c r="M451" t="s">
        <v>29</v>
      </c>
      <c r="N451">
        <f>Table2[[#This Row],[Total Paid]]+Table2[[#This Row],[Due]]</f>
        <v>350</v>
      </c>
      <c r="O451">
        <v>0</v>
      </c>
      <c r="P451">
        <v>150</v>
      </c>
      <c r="Q451">
        <v>200</v>
      </c>
      <c r="R451">
        <v>0</v>
      </c>
      <c r="S451">
        <v>0</v>
      </c>
      <c r="T451">
        <v>350</v>
      </c>
      <c r="U451">
        <v>0</v>
      </c>
      <c r="V451">
        <v>350</v>
      </c>
      <c r="W451" t="s">
        <v>42</v>
      </c>
      <c r="X451" s="6" t="s">
        <v>720</v>
      </c>
    </row>
    <row r="452" spans="1:24" hidden="1" x14ac:dyDescent="0.25">
      <c r="A452" t="s">
        <v>764</v>
      </c>
      <c r="B452" t="s">
        <v>65</v>
      </c>
      <c r="C452" t="s">
        <v>24</v>
      </c>
      <c r="D452">
        <v>40</v>
      </c>
      <c r="E452" t="s">
        <v>765</v>
      </c>
      <c r="F452" t="s">
        <v>35</v>
      </c>
      <c r="G452" t="s">
        <v>26</v>
      </c>
      <c r="H452" t="str">
        <f>INDEX(Table1[Diagnosis],MATCH(I452,'codeand diagnosis'!$A$2:$A$11,0))</f>
        <v>Dental examination with radiology</v>
      </c>
      <c r="I452" t="s">
        <v>37</v>
      </c>
      <c r="J452" t="str">
        <f>INDEX(Table1[ICD-10 Code],MATCH(Table2[[#This Row],[Treatment]],Table1[Treatment Type],0))</f>
        <v>Z01.2</v>
      </c>
      <c r="K452" t="s">
        <v>28</v>
      </c>
      <c r="L452" t="s">
        <v>38</v>
      </c>
      <c r="M452" t="s">
        <v>46</v>
      </c>
      <c r="N452">
        <f>Table2[[#This Row],[Total Paid]]+Table2[[#This Row],[Due]]</f>
        <v>210</v>
      </c>
      <c r="O452">
        <v>0</v>
      </c>
      <c r="P452">
        <v>150</v>
      </c>
      <c r="Q452">
        <v>200</v>
      </c>
      <c r="R452">
        <v>0</v>
      </c>
      <c r="S452">
        <v>140</v>
      </c>
      <c r="T452">
        <v>210</v>
      </c>
      <c r="U452">
        <v>0</v>
      </c>
      <c r="V452">
        <v>210</v>
      </c>
      <c r="W452" t="s">
        <v>30</v>
      </c>
      <c r="X452" s="6" t="s">
        <v>720</v>
      </c>
    </row>
    <row r="453" spans="1:24" hidden="1" x14ac:dyDescent="0.25">
      <c r="A453" t="s">
        <v>766</v>
      </c>
      <c r="B453" t="s">
        <v>224</v>
      </c>
      <c r="C453" t="s">
        <v>34</v>
      </c>
      <c r="D453">
        <v>13</v>
      </c>
      <c r="E453" t="s">
        <v>765</v>
      </c>
      <c r="F453" t="s">
        <v>25</v>
      </c>
      <c r="G453" t="s">
        <v>36</v>
      </c>
      <c r="H453" t="str">
        <f>INDEX(Table1[Diagnosis],MATCH(I453,'codeand diagnosis'!$A$2:$A$11,0))</f>
        <v>Dental examination with radiology</v>
      </c>
      <c r="I453" t="s">
        <v>37</v>
      </c>
      <c r="J453" t="str">
        <f>INDEX(Table1[ICD-10 Code],MATCH(Table2[[#This Row],[Treatment]],Table1[Treatment Type],0))</f>
        <v>Z01.2</v>
      </c>
      <c r="K453" t="s">
        <v>28</v>
      </c>
      <c r="L453" t="s">
        <v>38</v>
      </c>
      <c r="M453" t="s">
        <v>29</v>
      </c>
      <c r="N453">
        <f>Table2[[#This Row],[Total Paid]]+Table2[[#This Row],[Due]]</f>
        <v>350</v>
      </c>
      <c r="O453">
        <v>0</v>
      </c>
      <c r="P453">
        <v>150</v>
      </c>
      <c r="Q453">
        <v>200</v>
      </c>
      <c r="R453">
        <v>0</v>
      </c>
      <c r="S453">
        <v>0</v>
      </c>
      <c r="T453">
        <v>350</v>
      </c>
      <c r="U453">
        <v>0</v>
      </c>
      <c r="V453">
        <v>350</v>
      </c>
      <c r="W453" t="s">
        <v>42</v>
      </c>
      <c r="X453" s="6" t="s">
        <v>720</v>
      </c>
    </row>
    <row r="454" spans="1:24" hidden="1" x14ac:dyDescent="0.25">
      <c r="A454" t="s">
        <v>767</v>
      </c>
      <c r="B454" t="s">
        <v>222</v>
      </c>
      <c r="C454" t="s">
        <v>24</v>
      </c>
      <c r="D454">
        <v>77</v>
      </c>
      <c r="E454" t="s">
        <v>765</v>
      </c>
      <c r="F454" t="s">
        <v>88</v>
      </c>
      <c r="G454" t="s">
        <v>36</v>
      </c>
      <c r="H454" t="str">
        <f>INDEX(Table1[Diagnosis],MATCH(I454,'codeand diagnosis'!$A$2:$A$11,0))</f>
        <v>Dental examination with radiology</v>
      </c>
      <c r="I454" t="s">
        <v>37</v>
      </c>
      <c r="J454" t="str">
        <f>INDEX(Table1[ICD-10 Code],MATCH(Table2[[#This Row],[Treatment]],Table1[Treatment Type],0))</f>
        <v>Z01.2</v>
      </c>
      <c r="K454" t="s">
        <v>28</v>
      </c>
      <c r="L454" t="s">
        <v>38</v>
      </c>
      <c r="M454" t="s">
        <v>46</v>
      </c>
      <c r="N454">
        <f>Table2[[#This Row],[Total Paid]]+Table2[[#This Row],[Due]]</f>
        <v>210</v>
      </c>
      <c r="O454">
        <v>0</v>
      </c>
      <c r="P454">
        <v>150</v>
      </c>
      <c r="Q454">
        <v>200</v>
      </c>
      <c r="R454">
        <v>0</v>
      </c>
      <c r="S454">
        <v>140</v>
      </c>
      <c r="T454">
        <v>210</v>
      </c>
      <c r="U454">
        <v>0</v>
      </c>
      <c r="V454">
        <v>210</v>
      </c>
      <c r="W454" t="s">
        <v>47</v>
      </c>
      <c r="X454" s="6" t="s">
        <v>720</v>
      </c>
    </row>
    <row r="455" spans="1:24" hidden="1" x14ac:dyDescent="0.25">
      <c r="A455" t="s">
        <v>768</v>
      </c>
      <c r="B455" t="s">
        <v>98</v>
      </c>
      <c r="C455" t="s">
        <v>24</v>
      </c>
      <c r="D455">
        <v>68</v>
      </c>
      <c r="E455" t="s">
        <v>769</v>
      </c>
      <c r="F455" t="s">
        <v>50</v>
      </c>
      <c r="G455" t="s">
        <v>26</v>
      </c>
      <c r="H455" t="str">
        <f>INDEX(Table1[Diagnosis],MATCH(I455,'codeand diagnosis'!$A$2:$A$11,0))</f>
        <v>Missing teeth</v>
      </c>
      <c r="I455" t="s">
        <v>78</v>
      </c>
      <c r="J455" t="str">
        <f>INDEX(Table1[ICD-10 Code],MATCH(Table2[[#This Row],[Treatment]],Table1[Treatment Type],0))</f>
        <v>K08.1</v>
      </c>
      <c r="K455" t="s">
        <v>28</v>
      </c>
      <c r="L455" t="s">
        <v>28</v>
      </c>
      <c r="M455" t="s">
        <v>61</v>
      </c>
      <c r="N455">
        <f>Table2[[#This Row],[Total Paid]]+Table2[[#This Row],[Due]]</f>
        <v>25553</v>
      </c>
      <c r="O455">
        <v>25553</v>
      </c>
      <c r="P455">
        <v>0</v>
      </c>
      <c r="Q455">
        <v>0</v>
      </c>
      <c r="R455">
        <v>8210</v>
      </c>
      <c r="S455">
        <v>0</v>
      </c>
      <c r="T455">
        <v>25553</v>
      </c>
      <c r="U455">
        <v>0</v>
      </c>
      <c r="V455">
        <v>17343</v>
      </c>
      <c r="W455" t="s">
        <v>42</v>
      </c>
      <c r="X455" s="6" t="s">
        <v>720</v>
      </c>
    </row>
    <row r="456" spans="1:24" hidden="1" x14ac:dyDescent="0.25">
      <c r="A456" t="s">
        <v>770</v>
      </c>
      <c r="B456" t="s">
        <v>361</v>
      </c>
      <c r="C456" t="s">
        <v>34</v>
      </c>
      <c r="D456">
        <v>44</v>
      </c>
      <c r="E456" t="s">
        <v>769</v>
      </c>
      <c r="F456" t="s">
        <v>50</v>
      </c>
      <c r="G456" t="s">
        <v>26</v>
      </c>
      <c r="H456" t="str">
        <f>INDEX(Table1[Diagnosis],MATCH(I456,'codeand diagnosis'!$A$2:$A$11,0))</f>
        <v>Dental examination</v>
      </c>
      <c r="I456" t="s">
        <v>45</v>
      </c>
      <c r="J456" t="str">
        <f>INDEX(Table1[ICD-10 Code],MATCH(Table2[[#This Row],[Treatment]],Table1[Treatment Type],0))</f>
        <v>Z01.2</v>
      </c>
      <c r="K456" t="s">
        <v>28</v>
      </c>
      <c r="L456" t="s">
        <v>28</v>
      </c>
      <c r="M456" t="s">
        <v>29</v>
      </c>
      <c r="N456">
        <f>Table2[[#This Row],[Total Paid]]+Table2[[#This Row],[Due]]</f>
        <v>120</v>
      </c>
      <c r="O456">
        <v>0</v>
      </c>
      <c r="P456">
        <v>0</v>
      </c>
      <c r="Q456">
        <v>200</v>
      </c>
      <c r="R456">
        <v>0</v>
      </c>
      <c r="S456">
        <v>80</v>
      </c>
      <c r="T456">
        <v>120</v>
      </c>
      <c r="U456">
        <v>0</v>
      </c>
      <c r="V456">
        <v>120</v>
      </c>
      <c r="W456" t="s">
        <v>42</v>
      </c>
      <c r="X456" s="6" t="s">
        <v>720</v>
      </c>
    </row>
    <row r="457" spans="1:24" hidden="1" x14ac:dyDescent="0.25">
      <c r="A457" t="s">
        <v>771</v>
      </c>
      <c r="B457" t="s">
        <v>224</v>
      </c>
      <c r="C457" t="s">
        <v>34</v>
      </c>
      <c r="D457">
        <v>52</v>
      </c>
      <c r="E457" t="s">
        <v>769</v>
      </c>
      <c r="F457" t="s">
        <v>266</v>
      </c>
      <c r="G457" t="s">
        <v>26</v>
      </c>
      <c r="H457" t="str">
        <f>INDEX(Table1[Diagnosis],MATCH(I457,'codeand diagnosis'!$A$2:$A$11,0))</f>
        <v>Dental examination with radiology</v>
      </c>
      <c r="I457" t="s">
        <v>37</v>
      </c>
      <c r="J457" t="str">
        <f>INDEX(Table1[ICD-10 Code],MATCH(Table2[[#This Row],[Treatment]],Table1[Treatment Type],0))</f>
        <v>Z01.2</v>
      </c>
      <c r="K457" t="s">
        <v>28</v>
      </c>
      <c r="L457" t="s">
        <v>38</v>
      </c>
      <c r="M457" t="s">
        <v>29</v>
      </c>
      <c r="N457">
        <f>Table2[[#This Row],[Total Paid]]+Table2[[#This Row],[Due]]</f>
        <v>350</v>
      </c>
      <c r="O457">
        <v>0</v>
      </c>
      <c r="P457">
        <v>150</v>
      </c>
      <c r="Q457">
        <v>200</v>
      </c>
      <c r="R457">
        <v>0</v>
      </c>
      <c r="S457">
        <v>0</v>
      </c>
      <c r="T457">
        <v>350</v>
      </c>
      <c r="U457">
        <v>0</v>
      </c>
      <c r="V457">
        <v>350</v>
      </c>
      <c r="W457" t="s">
        <v>42</v>
      </c>
      <c r="X457" s="6" t="s">
        <v>720</v>
      </c>
    </row>
    <row r="458" spans="1:24" hidden="1" x14ac:dyDescent="0.25">
      <c r="A458" t="s">
        <v>772</v>
      </c>
      <c r="B458" t="s">
        <v>201</v>
      </c>
      <c r="C458" t="s">
        <v>34</v>
      </c>
      <c r="D458">
        <v>10</v>
      </c>
      <c r="E458" t="s">
        <v>773</v>
      </c>
      <c r="F458" t="s">
        <v>35</v>
      </c>
      <c r="G458" t="s">
        <v>26</v>
      </c>
      <c r="H458" t="str">
        <f>INDEX(Table1[Diagnosis],MATCH(I458,'codeand diagnosis'!$A$2:$A$11,0))</f>
        <v>Dental examination with radiology</v>
      </c>
      <c r="I458" t="s">
        <v>37</v>
      </c>
      <c r="J458" t="str">
        <f>INDEX(Table1[ICD-10 Code],MATCH(Table2[[#This Row],[Treatment]],Table1[Treatment Type],0))</f>
        <v>Z01.2</v>
      </c>
      <c r="K458" t="s">
        <v>28</v>
      </c>
      <c r="L458" t="s">
        <v>38</v>
      </c>
      <c r="M458" t="s">
        <v>29</v>
      </c>
      <c r="N458">
        <f>Table2[[#This Row],[Total Paid]]+Table2[[#This Row],[Due]]</f>
        <v>350</v>
      </c>
      <c r="O458">
        <v>0</v>
      </c>
      <c r="P458">
        <v>150</v>
      </c>
      <c r="Q458">
        <v>200</v>
      </c>
      <c r="R458">
        <v>0</v>
      </c>
      <c r="S458">
        <v>0</v>
      </c>
      <c r="T458">
        <v>350</v>
      </c>
      <c r="U458">
        <v>0</v>
      </c>
      <c r="V458">
        <v>350</v>
      </c>
      <c r="W458" t="s">
        <v>51</v>
      </c>
      <c r="X458" s="6" t="s">
        <v>720</v>
      </c>
    </row>
    <row r="459" spans="1:24" hidden="1" x14ac:dyDescent="0.25">
      <c r="A459" t="s">
        <v>774</v>
      </c>
      <c r="B459" t="s">
        <v>365</v>
      </c>
      <c r="C459" t="s">
        <v>24</v>
      </c>
      <c r="D459">
        <v>79</v>
      </c>
      <c r="E459" t="s">
        <v>775</v>
      </c>
      <c r="F459" t="s">
        <v>132</v>
      </c>
      <c r="G459" t="s">
        <v>26</v>
      </c>
      <c r="H459" t="str">
        <f>INDEX(Table1[Diagnosis],MATCH(I459,'codeand diagnosis'!$A$2:$A$11,0))</f>
        <v>Dental examination</v>
      </c>
      <c r="I459" t="s">
        <v>45</v>
      </c>
      <c r="J459" t="str">
        <f>INDEX(Table1[ICD-10 Code],MATCH(Table2[[#This Row],[Treatment]],Table1[Treatment Type],0))</f>
        <v>Z01.2</v>
      </c>
      <c r="K459" t="s">
        <v>28</v>
      </c>
      <c r="L459" t="s">
        <v>28</v>
      </c>
      <c r="M459" t="s">
        <v>29</v>
      </c>
      <c r="N459">
        <f>Table2[[#This Row],[Total Paid]]+Table2[[#This Row],[Due]]</f>
        <v>200</v>
      </c>
      <c r="O459">
        <v>0</v>
      </c>
      <c r="P459">
        <v>0</v>
      </c>
      <c r="Q459">
        <v>200</v>
      </c>
      <c r="R459">
        <v>0</v>
      </c>
      <c r="S459">
        <v>0</v>
      </c>
      <c r="T459">
        <v>200</v>
      </c>
      <c r="U459">
        <v>0</v>
      </c>
      <c r="V459">
        <v>200</v>
      </c>
      <c r="W459" t="s">
        <v>47</v>
      </c>
      <c r="X459" s="6" t="s">
        <v>720</v>
      </c>
    </row>
    <row r="460" spans="1:24" hidden="1" x14ac:dyDescent="0.25">
      <c r="A460" t="s">
        <v>776</v>
      </c>
      <c r="B460" t="s">
        <v>194</v>
      </c>
      <c r="C460" t="s">
        <v>34</v>
      </c>
      <c r="D460">
        <v>74</v>
      </c>
      <c r="E460" t="s">
        <v>775</v>
      </c>
      <c r="F460" t="s">
        <v>132</v>
      </c>
      <c r="G460" t="s">
        <v>26</v>
      </c>
      <c r="H460" t="str">
        <f>INDEX(Table1[Diagnosis],MATCH(I460,'codeand diagnosis'!$A$2:$A$11,0))</f>
        <v>Dental examination with radiology</v>
      </c>
      <c r="I460" t="s">
        <v>37</v>
      </c>
      <c r="J460" t="str">
        <f>INDEX(Table1[ICD-10 Code],MATCH(Table2[[#This Row],[Treatment]],Table1[Treatment Type],0))</f>
        <v>Z01.2</v>
      </c>
      <c r="K460" t="s">
        <v>28</v>
      </c>
      <c r="L460" t="s">
        <v>38</v>
      </c>
      <c r="M460" t="s">
        <v>29</v>
      </c>
      <c r="N460">
        <f>Table2[[#This Row],[Total Paid]]+Table2[[#This Row],[Due]]</f>
        <v>350</v>
      </c>
      <c r="O460">
        <v>0</v>
      </c>
      <c r="P460">
        <v>150</v>
      </c>
      <c r="Q460">
        <v>200</v>
      </c>
      <c r="R460">
        <v>0</v>
      </c>
      <c r="S460">
        <v>0</v>
      </c>
      <c r="T460">
        <v>350</v>
      </c>
      <c r="U460">
        <v>0</v>
      </c>
      <c r="V460">
        <v>350</v>
      </c>
      <c r="W460" t="s">
        <v>30</v>
      </c>
      <c r="X460" s="6" t="s">
        <v>720</v>
      </c>
    </row>
    <row r="461" spans="1:24" hidden="1" x14ac:dyDescent="0.25">
      <c r="A461" t="s">
        <v>777</v>
      </c>
      <c r="B461" t="s">
        <v>177</v>
      </c>
      <c r="C461" t="s">
        <v>34</v>
      </c>
      <c r="D461">
        <v>14</v>
      </c>
      <c r="E461" t="s">
        <v>778</v>
      </c>
      <c r="F461" t="s">
        <v>35</v>
      </c>
      <c r="G461" t="s">
        <v>26</v>
      </c>
      <c r="H461" t="str">
        <f>INDEX(Table1[Diagnosis],MATCH(I461,'codeand diagnosis'!$A$2:$A$11,0))</f>
        <v>Dental examination</v>
      </c>
      <c r="I461" t="s">
        <v>45</v>
      </c>
      <c r="J461" t="str">
        <f>INDEX(Table1[ICD-10 Code],MATCH(Table2[[#This Row],[Treatment]],Table1[Treatment Type],0))</f>
        <v>Z01.2</v>
      </c>
      <c r="K461" t="s">
        <v>28</v>
      </c>
      <c r="L461" t="s">
        <v>28</v>
      </c>
      <c r="M461" t="s">
        <v>29</v>
      </c>
      <c r="N461">
        <f>Table2[[#This Row],[Total Paid]]+Table2[[#This Row],[Due]]</f>
        <v>200</v>
      </c>
      <c r="O461">
        <v>0</v>
      </c>
      <c r="P461">
        <v>0</v>
      </c>
      <c r="Q461">
        <v>200</v>
      </c>
      <c r="R461">
        <v>0</v>
      </c>
      <c r="S461">
        <v>0</v>
      </c>
      <c r="T461">
        <v>200</v>
      </c>
      <c r="U461">
        <v>0</v>
      </c>
      <c r="V461">
        <v>200</v>
      </c>
      <c r="W461" t="s">
        <v>47</v>
      </c>
      <c r="X461" s="6" t="s">
        <v>720</v>
      </c>
    </row>
    <row r="462" spans="1:24" hidden="1" x14ac:dyDescent="0.25">
      <c r="A462" t="s">
        <v>779</v>
      </c>
      <c r="B462" t="s">
        <v>447</v>
      </c>
      <c r="C462" t="s">
        <v>24</v>
      </c>
      <c r="D462">
        <v>38</v>
      </c>
      <c r="E462" s="1">
        <v>45292</v>
      </c>
      <c r="F462" t="s">
        <v>88</v>
      </c>
      <c r="G462" t="s">
        <v>36</v>
      </c>
      <c r="H462" t="str">
        <f>INDEX(Table1[Diagnosis],MATCH(I462,'codeand diagnosis'!$A$2:$A$11,0))</f>
        <v>Dental caries</v>
      </c>
      <c r="I462" t="s">
        <v>41</v>
      </c>
      <c r="J462" t="str">
        <f>INDEX(Table1[ICD-10 Code],MATCH(Table2[[#This Row],[Treatment]],Table1[Treatment Type],0))</f>
        <v>K02.9</v>
      </c>
      <c r="K462" t="s">
        <v>28</v>
      </c>
      <c r="L462" t="s">
        <v>38</v>
      </c>
      <c r="M462" t="s">
        <v>29</v>
      </c>
      <c r="N462">
        <f>Table2[[#This Row],[Total Paid]]+Table2[[#This Row],[Due]]</f>
        <v>583.79999999999995</v>
      </c>
      <c r="O462">
        <v>973</v>
      </c>
      <c r="P462">
        <v>0</v>
      </c>
      <c r="Q462">
        <v>0</v>
      </c>
      <c r="R462">
        <v>0</v>
      </c>
      <c r="S462">
        <v>389.2</v>
      </c>
      <c r="T462">
        <v>583.79999999999995</v>
      </c>
      <c r="U462">
        <v>0</v>
      </c>
      <c r="V462">
        <v>583.79999999999995</v>
      </c>
      <c r="W462" t="s">
        <v>51</v>
      </c>
      <c r="X462" s="6" t="s">
        <v>780</v>
      </c>
    </row>
    <row r="463" spans="1:24" hidden="1" x14ac:dyDescent="0.25">
      <c r="A463" t="s">
        <v>781</v>
      </c>
      <c r="B463" t="s">
        <v>128</v>
      </c>
      <c r="C463" t="s">
        <v>24</v>
      </c>
      <c r="D463">
        <v>75</v>
      </c>
      <c r="E463" s="1">
        <v>45323</v>
      </c>
      <c r="F463" t="s">
        <v>50</v>
      </c>
      <c r="G463" t="s">
        <v>26</v>
      </c>
      <c r="H463" t="str">
        <f>INDEX(Table1[Diagnosis],MATCH(I463,'codeand diagnosis'!$A$2:$A$11,0))</f>
        <v>Gingivitis</v>
      </c>
      <c r="I463" t="s">
        <v>27</v>
      </c>
      <c r="J463" t="str">
        <f>INDEX(Table1[ICD-10 Code],MATCH(Table2[[#This Row],[Treatment]],Table1[Treatment Type],0))</f>
        <v>K05.10</v>
      </c>
      <c r="K463" t="s">
        <v>28</v>
      </c>
      <c r="L463" t="s">
        <v>38</v>
      </c>
      <c r="M463" t="s">
        <v>29</v>
      </c>
      <c r="N463">
        <f>Table2[[#This Row],[Total Paid]]+Table2[[#This Row],[Due]]</f>
        <v>549</v>
      </c>
      <c r="O463">
        <v>549</v>
      </c>
      <c r="P463">
        <v>0</v>
      </c>
      <c r="Q463">
        <v>0</v>
      </c>
      <c r="R463">
        <v>0</v>
      </c>
      <c r="S463">
        <v>0</v>
      </c>
      <c r="T463">
        <v>549</v>
      </c>
      <c r="U463">
        <v>0</v>
      </c>
      <c r="V463">
        <v>549</v>
      </c>
      <c r="W463" t="s">
        <v>47</v>
      </c>
      <c r="X463" s="6" t="s">
        <v>780</v>
      </c>
    </row>
    <row r="464" spans="1:24" hidden="1" x14ac:dyDescent="0.25">
      <c r="A464" t="s">
        <v>782</v>
      </c>
      <c r="B464" t="s">
        <v>314</v>
      </c>
      <c r="C464" t="s">
        <v>24</v>
      </c>
      <c r="D464">
        <v>37</v>
      </c>
      <c r="E464" s="1">
        <v>45323</v>
      </c>
      <c r="F464" t="s">
        <v>50</v>
      </c>
      <c r="G464" t="s">
        <v>26</v>
      </c>
      <c r="H464" t="str">
        <f>INDEX(Table1[Diagnosis],MATCH(I464,'codeand diagnosis'!$A$2:$A$11,0))</f>
        <v>Dental examination</v>
      </c>
      <c r="I464" t="s">
        <v>45</v>
      </c>
      <c r="J464" t="str">
        <f>INDEX(Table1[ICD-10 Code],MATCH(Table2[[#This Row],[Treatment]],Table1[Treatment Type],0))</f>
        <v>Z01.2</v>
      </c>
      <c r="K464" t="s">
        <v>28</v>
      </c>
      <c r="L464" t="s">
        <v>28</v>
      </c>
      <c r="M464" t="s">
        <v>29</v>
      </c>
      <c r="N464">
        <f>Table2[[#This Row],[Total Paid]]+Table2[[#This Row],[Due]]</f>
        <v>200</v>
      </c>
      <c r="O464">
        <v>0</v>
      </c>
      <c r="P464">
        <v>0</v>
      </c>
      <c r="Q464">
        <v>200</v>
      </c>
      <c r="R464">
        <v>0</v>
      </c>
      <c r="S464">
        <v>0</v>
      </c>
      <c r="T464">
        <v>200</v>
      </c>
      <c r="U464">
        <v>0</v>
      </c>
      <c r="V464">
        <v>200</v>
      </c>
      <c r="W464" t="s">
        <v>51</v>
      </c>
      <c r="X464" s="6" t="s">
        <v>780</v>
      </c>
    </row>
    <row r="465" spans="1:24" hidden="1" x14ac:dyDescent="0.25">
      <c r="A465" t="s">
        <v>783</v>
      </c>
      <c r="B465" t="s">
        <v>342</v>
      </c>
      <c r="C465" t="s">
        <v>34</v>
      </c>
      <c r="D465">
        <v>9</v>
      </c>
      <c r="E465" s="1">
        <v>45323</v>
      </c>
      <c r="F465" t="s">
        <v>88</v>
      </c>
      <c r="G465" t="s">
        <v>26</v>
      </c>
      <c r="H465" t="str">
        <f>INDEX(Table1[Diagnosis],MATCH(I465,'codeand diagnosis'!$A$2:$A$11,0))</f>
        <v>Dental examination with radiology</v>
      </c>
      <c r="I465" t="s">
        <v>37</v>
      </c>
      <c r="J465" t="str">
        <f>INDEX(Table1[ICD-10 Code],MATCH(Table2[[#This Row],[Treatment]],Table1[Treatment Type],0))</f>
        <v>Z01.2</v>
      </c>
      <c r="K465" t="s">
        <v>28</v>
      </c>
      <c r="L465" t="s">
        <v>38</v>
      </c>
      <c r="M465" t="s">
        <v>46</v>
      </c>
      <c r="N465">
        <f>Table2[[#This Row],[Total Paid]]+Table2[[#This Row],[Due]]</f>
        <v>350</v>
      </c>
      <c r="O465">
        <v>0</v>
      </c>
      <c r="P465">
        <v>150</v>
      </c>
      <c r="Q465">
        <v>200</v>
      </c>
      <c r="R465">
        <v>0</v>
      </c>
      <c r="S465">
        <v>0</v>
      </c>
      <c r="T465">
        <v>350</v>
      </c>
      <c r="U465">
        <v>0</v>
      </c>
      <c r="V465">
        <v>350</v>
      </c>
      <c r="W465" t="s">
        <v>30</v>
      </c>
      <c r="X465" s="6" t="s">
        <v>780</v>
      </c>
    </row>
    <row r="466" spans="1:24" hidden="1" x14ac:dyDescent="0.25">
      <c r="A466" t="s">
        <v>784</v>
      </c>
      <c r="B466" t="s">
        <v>141</v>
      </c>
      <c r="C466" t="s">
        <v>34</v>
      </c>
      <c r="D466">
        <v>21</v>
      </c>
      <c r="E466" s="1">
        <v>45352</v>
      </c>
      <c r="F466" t="s">
        <v>88</v>
      </c>
      <c r="G466" t="s">
        <v>36</v>
      </c>
      <c r="H466" t="str">
        <f>INDEX(Table1[Diagnosis],MATCH(I466,'codeand diagnosis'!$A$2:$A$11,0))</f>
        <v>Dental examination with radiology</v>
      </c>
      <c r="I466" t="s">
        <v>37</v>
      </c>
      <c r="J466" t="str">
        <f>INDEX(Table1[ICD-10 Code],MATCH(Table2[[#This Row],[Treatment]],Table1[Treatment Type],0))</f>
        <v>Z01.2</v>
      </c>
      <c r="K466" t="s">
        <v>28</v>
      </c>
      <c r="L466" t="s">
        <v>38</v>
      </c>
      <c r="M466" t="s">
        <v>29</v>
      </c>
      <c r="N466">
        <f>Table2[[#This Row],[Total Paid]]+Table2[[#This Row],[Due]]</f>
        <v>350</v>
      </c>
      <c r="O466">
        <v>0</v>
      </c>
      <c r="P466">
        <v>150</v>
      </c>
      <c r="Q466">
        <v>200</v>
      </c>
      <c r="R466">
        <v>0</v>
      </c>
      <c r="S466">
        <v>0</v>
      </c>
      <c r="T466">
        <v>350</v>
      </c>
      <c r="U466">
        <v>0</v>
      </c>
      <c r="V466">
        <v>350</v>
      </c>
      <c r="W466" t="s">
        <v>51</v>
      </c>
      <c r="X466" s="6" t="s">
        <v>780</v>
      </c>
    </row>
    <row r="467" spans="1:24" hidden="1" x14ac:dyDescent="0.25">
      <c r="A467" t="s">
        <v>785</v>
      </c>
      <c r="B467" t="s">
        <v>224</v>
      </c>
      <c r="C467" t="s">
        <v>34</v>
      </c>
      <c r="D467">
        <v>51</v>
      </c>
      <c r="E467" s="1">
        <v>45352</v>
      </c>
      <c r="F467" t="s">
        <v>50</v>
      </c>
      <c r="G467" t="s">
        <v>36</v>
      </c>
      <c r="H467" t="str">
        <f>INDEX(Table1[Diagnosis],MATCH(I467,'codeand diagnosis'!$A$2:$A$11,0))</f>
        <v>Dental examination with radiology</v>
      </c>
      <c r="I467" t="s">
        <v>37</v>
      </c>
      <c r="J467" t="str">
        <f>INDEX(Table1[ICD-10 Code],MATCH(Table2[[#This Row],[Treatment]],Table1[Treatment Type],0))</f>
        <v>Z01.2</v>
      </c>
      <c r="K467" t="s">
        <v>28</v>
      </c>
      <c r="L467" t="s">
        <v>38</v>
      </c>
      <c r="M467" t="s">
        <v>29</v>
      </c>
      <c r="N467">
        <f>Table2[[#This Row],[Total Paid]]+Table2[[#This Row],[Due]]</f>
        <v>300</v>
      </c>
      <c r="O467">
        <v>0</v>
      </c>
      <c r="P467">
        <v>150</v>
      </c>
      <c r="Q467">
        <v>200</v>
      </c>
      <c r="R467">
        <v>0</v>
      </c>
      <c r="S467">
        <v>50</v>
      </c>
      <c r="T467">
        <v>300</v>
      </c>
      <c r="U467">
        <v>0</v>
      </c>
      <c r="V467">
        <v>300</v>
      </c>
      <c r="W467" t="s">
        <v>51</v>
      </c>
      <c r="X467" s="6" t="s">
        <v>780</v>
      </c>
    </row>
    <row r="468" spans="1:24" hidden="1" x14ac:dyDescent="0.25">
      <c r="A468" t="s">
        <v>786</v>
      </c>
      <c r="B468" t="s">
        <v>59</v>
      </c>
      <c r="C468" t="s">
        <v>34</v>
      </c>
      <c r="D468">
        <v>73</v>
      </c>
      <c r="E468" s="1">
        <v>45352</v>
      </c>
      <c r="F468" t="s">
        <v>35</v>
      </c>
      <c r="G468" t="s">
        <v>26</v>
      </c>
      <c r="H468" t="str">
        <f>INDEX(Table1[Diagnosis],MATCH(I468,'codeand diagnosis'!$A$2:$A$11,0))</f>
        <v>Dental examination</v>
      </c>
      <c r="I468" t="s">
        <v>45</v>
      </c>
      <c r="J468" t="str">
        <f>INDEX(Table1[ICD-10 Code],MATCH(Table2[[#This Row],[Treatment]],Table1[Treatment Type],0))</f>
        <v>Z01.2</v>
      </c>
      <c r="K468" t="s">
        <v>28</v>
      </c>
      <c r="L468" t="s">
        <v>28</v>
      </c>
      <c r="M468" t="s">
        <v>29</v>
      </c>
      <c r="N468">
        <f>Table2[[#This Row],[Total Paid]]+Table2[[#This Row],[Due]]</f>
        <v>200</v>
      </c>
      <c r="O468">
        <v>0</v>
      </c>
      <c r="P468">
        <v>0</v>
      </c>
      <c r="Q468">
        <v>200</v>
      </c>
      <c r="R468">
        <v>0</v>
      </c>
      <c r="S468">
        <v>0</v>
      </c>
      <c r="T468">
        <v>200</v>
      </c>
      <c r="U468">
        <v>0</v>
      </c>
      <c r="V468">
        <v>200</v>
      </c>
      <c r="W468" t="s">
        <v>42</v>
      </c>
      <c r="X468" s="6" t="s">
        <v>780</v>
      </c>
    </row>
    <row r="469" spans="1:24" hidden="1" x14ac:dyDescent="0.25">
      <c r="A469" t="s">
        <v>787</v>
      </c>
      <c r="B469" t="s">
        <v>70</v>
      </c>
      <c r="C469" t="s">
        <v>24</v>
      </c>
      <c r="D469">
        <v>35</v>
      </c>
      <c r="E469" s="1">
        <v>45383</v>
      </c>
      <c r="F469" t="s">
        <v>35</v>
      </c>
      <c r="G469" t="s">
        <v>36</v>
      </c>
      <c r="H469" t="str">
        <f>INDEX(Table1[Diagnosis],MATCH(I469,'codeand diagnosis'!$A$2:$A$11,0))</f>
        <v>Dental examination with radiology</v>
      </c>
      <c r="I469" t="s">
        <v>37</v>
      </c>
      <c r="J469" t="str">
        <f>INDEX(Table1[ICD-10 Code],MATCH(Table2[[#This Row],[Treatment]],Table1[Treatment Type],0))</f>
        <v>Z01.2</v>
      </c>
      <c r="K469" t="s">
        <v>28</v>
      </c>
      <c r="L469" t="s">
        <v>38</v>
      </c>
      <c r="M469" t="s">
        <v>29</v>
      </c>
      <c r="N469">
        <f>Table2[[#This Row],[Total Paid]]+Table2[[#This Row],[Due]]</f>
        <v>350</v>
      </c>
      <c r="O469">
        <v>0</v>
      </c>
      <c r="P469">
        <v>150</v>
      </c>
      <c r="Q469">
        <v>200</v>
      </c>
      <c r="R469">
        <v>0</v>
      </c>
      <c r="S469">
        <v>0</v>
      </c>
      <c r="T469">
        <v>350</v>
      </c>
      <c r="U469">
        <v>0</v>
      </c>
      <c r="V469">
        <v>350</v>
      </c>
      <c r="W469" t="s">
        <v>51</v>
      </c>
      <c r="X469" s="6" t="s">
        <v>780</v>
      </c>
    </row>
    <row r="470" spans="1:24" hidden="1" x14ac:dyDescent="0.25">
      <c r="A470" t="s">
        <v>788</v>
      </c>
      <c r="B470" t="s">
        <v>113</v>
      </c>
      <c r="C470" t="s">
        <v>24</v>
      </c>
      <c r="D470">
        <v>61</v>
      </c>
      <c r="E470" s="1">
        <v>45383</v>
      </c>
      <c r="F470" t="s">
        <v>88</v>
      </c>
      <c r="G470" t="s">
        <v>26</v>
      </c>
      <c r="H470" t="str">
        <f>INDEX(Table1[Diagnosis],MATCH(I470,'codeand diagnosis'!$A$2:$A$11,0))</f>
        <v>Missing teeth</v>
      </c>
      <c r="I470" t="s">
        <v>78</v>
      </c>
      <c r="J470" t="str">
        <f>INDEX(Table1[ICD-10 Code],MATCH(Table2[[#This Row],[Treatment]],Table1[Treatment Type],0))</f>
        <v>K08.1</v>
      </c>
      <c r="K470" t="s">
        <v>28</v>
      </c>
      <c r="L470" t="s">
        <v>38</v>
      </c>
      <c r="M470" t="s">
        <v>29</v>
      </c>
      <c r="N470">
        <f>Table2[[#This Row],[Total Paid]]+Table2[[#This Row],[Due]]</f>
        <v>26476</v>
      </c>
      <c r="O470">
        <v>26476</v>
      </c>
      <c r="P470">
        <v>0</v>
      </c>
      <c r="Q470">
        <v>0</v>
      </c>
      <c r="R470">
        <v>6080</v>
      </c>
      <c r="S470">
        <v>0</v>
      </c>
      <c r="T470">
        <v>26476</v>
      </c>
      <c r="U470">
        <v>0</v>
      </c>
      <c r="V470">
        <v>20396</v>
      </c>
      <c r="W470" t="s">
        <v>30</v>
      </c>
      <c r="X470" s="6" t="s">
        <v>780</v>
      </c>
    </row>
    <row r="471" spans="1:24" hidden="1" x14ac:dyDescent="0.25">
      <c r="A471" t="s">
        <v>789</v>
      </c>
      <c r="B471" t="s">
        <v>611</v>
      </c>
      <c r="C471" t="s">
        <v>34</v>
      </c>
      <c r="D471">
        <v>40</v>
      </c>
      <c r="E471" s="1">
        <v>45383</v>
      </c>
      <c r="F471" t="s">
        <v>25</v>
      </c>
      <c r="G471" t="s">
        <v>36</v>
      </c>
      <c r="H471" t="str">
        <f>INDEX(Table1[Diagnosis],MATCH(I471,'codeand diagnosis'!$A$2:$A$11,0))</f>
        <v>Dental examination</v>
      </c>
      <c r="I471" t="s">
        <v>45</v>
      </c>
      <c r="J471" t="str">
        <f>INDEX(Table1[ICD-10 Code],MATCH(Table2[[#This Row],[Treatment]],Table1[Treatment Type],0))</f>
        <v>Z01.2</v>
      </c>
      <c r="K471" t="s">
        <v>28</v>
      </c>
      <c r="L471" t="s">
        <v>28</v>
      </c>
      <c r="M471" t="s">
        <v>46</v>
      </c>
      <c r="N471">
        <f>Table2[[#This Row],[Total Paid]]+Table2[[#This Row],[Due]]</f>
        <v>200</v>
      </c>
      <c r="O471">
        <v>0</v>
      </c>
      <c r="P471">
        <v>0</v>
      </c>
      <c r="Q471">
        <v>200</v>
      </c>
      <c r="R471">
        <v>0</v>
      </c>
      <c r="S471">
        <v>0</v>
      </c>
      <c r="T471">
        <v>200</v>
      </c>
      <c r="U471">
        <v>0</v>
      </c>
      <c r="V471">
        <v>200</v>
      </c>
      <c r="W471" t="s">
        <v>51</v>
      </c>
      <c r="X471" s="6" t="s">
        <v>780</v>
      </c>
    </row>
    <row r="472" spans="1:24" hidden="1" x14ac:dyDescent="0.25">
      <c r="A472" t="s">
        <v>790</v>
      </c>
      <c r="B472" t="s">
        <v>137</v>
      </c>
      <c r="C472" t="s">
        <v>24</v>
      </c>
      <c r="D472">
        <v>22</v>
      </c>
      <c r="E472" s="1">
        <v>45383</v>
      </c>
      <c r="F472" t="s">
        <v>35</v>
      </c>
      <c r="G472" t="s">
        <v>36</v>
      </c>
      <c r="H472" t="str">
        <f>INDEX(Table1[Diagnosis],MATCH(I472,'codeand diagnosis'!$A$2:$A$11,0))</f>
        <v>Dental examination with radiology</v>
      </c>
      <c r="I472" t="s">
        <v>37</v>
      </c>
      <c r="J472" t="str">
        <f>INDEX(Table1[ICD-10 Code],MATCH(Table2[[#This Row],[Treatment]],Table1[Treatment Type],0))</f>
        <v>Z01.2</v>
      </c>
      <c r="K472" t="s">
        <v>28</v>
      </c>
      <c r="L472" t="s">
        <v>38</v>
      </c>
      <c r="M472" t="s">
        <v>29</v>
      </c>
      <c r="N472">
        <f>Table2[[#This Row],[Total Paid]]+Table2[[#This Row],[Due]]</f>
        <v>210</v>
      </c>
      <c r="O472">
        <v>0</v>
      </c>
      <c r="P472">
        <v>150</v>
      </c>
      <c r="Q472">
        <v>200</v>
      </c>
      <c r="R472">
        <v>0</v>
      </c>
      <c r="S472">
        <v>140</v>
      </c>
      <c r="T472">
        <v>210</v>
      </c>
      <c r="U472">
        <v>0</v>
      </c>
      <c r="V472">
        <v>210</v>
      </c>
      <c r="W472" t="s">
        <v>51</v>
      </c>
      <c r="X472" s="6" t="s">
        <v>780</v>
      </c>
    </row>
    <row r="473" spans="1:24" hidden="1" x14ac:dyDescent="0.25">
      <c r="A473" t="s">
        <v>791</v>
      </c>
      <c r="B473" t="s">
        <v>237</v>
      </c>
      <c r="C473" t="s">
        <v>34</v>
      </c>
      <c r="D473">
        <v>47</v>
      </c>
      <c r="E473" s="1">
        <v>45413</v>
      </c>
      <c r="F473" t="s">
        <v>50</v>
      </c>
      <c r="G473" t="s">
        <v>26</v>
      </c>
      <c r="H473" t="str">
        <f>INDEX(Table1[Diagnosis],MATCH(I473,'codeand diagnosis'!$A$2:$A$11,0))</f>
        <v>Gingivitis</v>
      </c>
      <c r="I473" t="s">
        <v>27</v>
      </c>
      <c r="J473" t="str">
        <f>INDEX(Table1[ICD-10 Code],MATCH(Table2[[#This Row],[Treatment]],Table1[Treatment Type],0))</f>
        <v>K05.10</v>
      </c>
      <c r="K473" t="s">
        <v>28</v>
      </c>
      <c r="L473" t="s">
        <v>38</v>
      </c>
      <c r="M473" t="s">
        <v>29</v>
      </c>
      <c r="N473">
        <f>Table2[[#This Row],[Total Paid]]+Table2[[#This Row],[Due]]</f>
        <v>594</v>
      </c>
      <c r="O473">
        <v>594</v>
      </c>
      <c r="P473">
        <v>0</v>
      </c>
      <c r="Q473">
        <v>0</v>
      </c>
      <c r="R473">
        <v>0</v>
      </c>
      <c r="S473">
        <v>0</v>
      </c>
      <c r="T473">
        <v>594</v>
      </c>
      <c r="U473">
        <v>0</v>
      </c>
      <c r="V473">
        <v>594</v>
      </c>
      <c r="W473" t="s">
        <v>47</v>
      </c>
      <c r="X473" s="6" t="s">
        <v>780</v>
      </c>
    </row>
    <row r="474" spans="1:24" hidden="1" x14ac:dyDescent="0.25">
      <c r="A474" t="s">
        <v>792</v>
      </c>
      <c r="B474" t="s">
        <v>94</v>
      </c>
      <c r="C474" t="s">
        <v>24</v>
      </c>
      <c r="D474">
        <v>43</v>
      </c>
      <c r="E474" s="1">
        <v>45505</v>
      </c>
      <c r="F474" t="s">
        <v>92</v>
      </c>
      <c r="G474" t="s">
        <v>26</v>
      </c>
      <c r="H474" t="str">
        <f>INDEX(Table1[Diagnosis],MATCH(I474,'codeand diagnosis'!$A$2:$A$11,0))</f>
        <v>Dental examination with radiology</v>
      </c>
      <c r="I474" t="s">
        <v>37</v>
      </c>
      <c r="J474" t="str">
        <f>INDEX(Table1[ICD-10 Code],MATCH(Table2[[#This Row],[Treatment]],Table1[Treatment Type],0))</f>
        <v>Z01.2</v>
      </c>
      <c r="K474" t="s">
        <v>28</v>
      </c>
      <c r="L474" t="s">
        <v>38</v>
      </c>
      <c r="M474" t="s">
        <v>29</v>
      </c>
      <c r="N474">
        <f>Table2[[#This Row],[Total Paid]]+Table2[[#This Row],[Due]]</f>
        <v>350</v>
      </c>
      <c r="O474">
        <v>0</v>
      </c>
      <c r="P474">
        <v>150</v>
      </c>
      <c r="Q474">
        <v>200</v>
      </c>
      <c r="R474">
        <v>0</v>
      </c>
      <c r="S474">
        <v>0</v>
      </c>
      <c r="T474">
        <v>350</v>
      </c>
      <c r="U474">
        <v>0</v>
      </c>
      <c r="V474">
        <v>350</v>
      </c>
      <c r="W474" t="s">
        <v>51</v>
      </c>
      <c r="X474" s="6" t="s">
        <v>780</v>
      </c>
    </row>
    <row r="475" spans="1:24" hidden="1" x14ac:dyDescent="0.25">
      <c r="A475" t="s">
        <v>793</v>
      </c>
      <c r="B475" t="s">
        <v>167</v>
      </c>
      <c r="C475" t="s">
        <v>24</v>
      </c>
      <c r="D475">
        <v>66</v>
      </c>
      <c r="E475" s="1">
        <v>45505</v>
      </c>
      <c r="F475" t="s">
        <v>54</v>
      </c>
      <c r="G475" t="s">
        <v>36</v>
      </c>
      <c r="H475" t="str">
        <f>INDEX(Table1[Diagnosis],MATCH(I475,'codeand diagnosis'!$A$2:$A$11,0))</f>
        <v>Retained dental root</v>
      </c>
      <c r="I475" t="s">
        <v>145</v>
      </c>
      <c r="J475" t="str">
        <f>INDEX(Table1[ICD-10 Code],MATCH(Table2[[#This Row],[Treatment]],Table1[Treatment Type],0))</f>
        <v>K08.3</v>
      </c>
      <c r="K475" t="s">
        <v>28</v>
      </c>
      <c r="L475" t="s">
        <v>38</v>
      </c>
      <c r="M475" t="s">
        <v>29</v>
      </c>
      <c r="N475">
        <f>Table2[[#This Row],[Total Paid]]+Table2[[#This Row],[Due]]</f>
        <v>3663</v>
      </c>
      <c r="O475">
        <v>3663</v>
      </c>
      <c r="P475">
        <v>0</v>
      </c>
      <c r="Q475">
        <v>0</v>
      </c>
      <c r="R475">
        <v>1060</v>
      </c>
      <c r="S475">
        <v>0</v>
      </c>
      <c r="T475">
        <v>3663</v>
      </c>
      <c r="U475">
        <v>0</v>
      </c>
      <c r="V475">
        <v>2603</v>
      </c>
      <c r="W475" t="s">
        <v>47</v>
      </c>
      <c r="X475" s="6" t="s">
        <v>780</v>
      </c>
    </row>
    <row r="476" spans="1:24" hidden="1" x14ac:dyDescent="0.25">
      <c r="A476" t="s">
        <v>794</v>
      </c>
      <c r="B476" t="s">
        <v>420</v>
      </c>
      <c r="C476" t="s">
        <v>34</v>
      </c>
      <c r="D476">
        <v>39</v>
      </c>
      <c r="E476" s="1">
        <v>45505</v>
      </c>
      <c r="F476" t="s">
        <v>35</v>
      </c>
      <c r="G476" t="s">
        <v>36</v>
      </c>
      <c r="H476" t="str">
        <f>INDEX(Table1[Diagnosis],MATCH(I476,'codeand diagnosis'!$A$2:$A$11,0))</f>
        <v>Loss of teeth</v>
      </c>
      <c r="I476" t="s">
        <v>68</v>
      </c>
      <c r="J476" t="str">
        <f>INDEX(Table1[ICD-10 Code],MATCH(Table2[[#This Row],[Treatment]],Table1[Treatment Type],0))</f>
        <v>K08.1</v>
      </c>
      <c r="K476" t="s">
        <v>28</v>
      </c>
      <c r="L476" t="s">
        <v>38</v>
      </c>
      <c r="M476" t="s">
        <v>29</v>
      </c>
      <c r="N476">
        <f>Table2[[#This Row],[Total Paid]]+Table2[[#This Row],[Due]]</f>
        <v>585.6</v>
      </c>
      <c r="O476">
        <v>976</v>
      </c>
      <c r="P476">
        <v>0</v>
      </c>
      <c r="Q476">
        <v>0</v>
      </c>
      <c r="R476">
        <v>0</v>
      </c>
      <c r="S476">
        <v>390.4</v>
      </c>
      <c r="T476">
        <v>585.6</v>
      </c>
      <c r="U476">
        <v>0</v>
      </c>
      <c r="V476">
        <v>585.6</v>
      </c>
      <c r="W476" t="s">
        <v>30</v>
      </c>
      <c r="X476" s="6" t="s">
        <v>780</v>
      </c>
    </row>
    <row r="477" spans="1:24" hidden="1" x14ac:dyDescent="0.25">
      <c r="A477" t="s">
        <v>795</v>
      </c>
      <c r="B477" t="s">
        <v>611</v>
      </c>
      <c r="C477" t="s">
        <v>34</v>
      </c>
      <c r="D477">
        <v>11</v>
      </c>
      <c r="E477" s="1">
        <v>45536</v>
      </c>
      <c r="F477" t="s">
        <v>50</v>
      </c>
      <c r="G477" t="s">
        <v>36</v>
      </c>
      <c r="H477" t="str">
        <f>INDEX(Table1[Diagnosis],MATCH(I477,'codeand diagnosis'!$A$2:$A$11,0))</f>
        <v>Dental examination</v>
      </c>
      <c r="I477" t="s">
        <v>45</v>
      </c>
      <c r="J477" t="str">
        <f>INDEX(Table1[ICD-10 Code],MATCH(Table2[[#This Row],[Treatment]],Table1[Treatment Type],0))</f>
        <v>Z01.2</v>
      </c>
      <c r="K477" t="s">
        <v>28</v>
      </c>
      <c r="L477" t="s">
        <v>28</v>
      </c>
      <c r="M477" t="s">
        <v>29</v>
      </c>
      <c r="N477">
        <f>Table2[[#This Row],[Total Paid]]+Table2[[#This Row],[Due]]</f>
        <v>150</v>
      </c>
      <c r="O477">
        <v>0</v>
      </c>
      <c r="P477">
        <v>0</v>
      </c>
      <c r="Q477">
        <v>200</v>
      </c>
      <c r="R477">
        <v>0</v>
      </c>
      <c r="S477">
        <v>50</v>
      </c>
      <c r="T477">
        <v>150</v>
      </c>
      <c r="U477">
        <v>0</v>
      </c>
      <c r="V477">
        <v>150</v>
      </c>
      <c r="W477" t="s">
        <v>42</v>
      </c>
      <c r="X477" s="6" t="s">
        <v>780</v>
      </c>
    </row>
    <row r="478" spans="1:24" hidden="1" x14ac:dyDescent="0.25">
      <c r="A478" t="s">
        <v>796</v>
      </c>
      <c r="B478" t="s">
        <v>151</v>
      </c>
      <c r="C478" t="s">
        <v>24</v>
      </c>
      <c r="D478">
        <v>62</v>
      </c>
      <c r="E478" s="1">
        <v>45536</v>
      </c>
      <c r="F478" t="s">
        <v>259</v>
      </c>
      <c r="G478" t="s">
        <v>26</v>
      </c>
      <c r="H478" t="str">
        <f>INDEX(Table1[Diagnosis],MATCH(I478,'codeand diagnosis'!$A$2:$A$11,0))</f>
        <v>Missing teeth</v>
      </c>
      <c r="I478" t="s">
        <v>78</v>
      </c>
      <c r="J478" t="str">
        <f>INDEX(Table1[ICD-10 Code],MATCH(Table2[[#This Row],[Treatment]],Table1[Treatment Type],0))</f>
        <v>K08.1</v>
      </c>
      <c r="K478" t="s">
        <v>28</v>
      </c>
      <c r="L478" t="s">
        <v>38</v>
      </c>
      <c r="M478" t="s">
        <v>46</v>
      </c>
      <c r="N478">
        <f>Table2[[#This Row],[Total Paid]]+Table2[[#This Row],[Due]]</f>
        <v>21433</v>
      </c>
      <c r="O478">
        <v>21433</v>
      </c>
      <c r="P478">
        <v>0</v>
      </c>
      <c r="Q478">
        <v>0</v>
      </c>
      <c r="R478">
        <v>4960</v>
      </c>
      <c r="S478">
        <v>0</v>
      </c>
      <c r="T478">
        <v>21433</v>
      </c>
      <c r="U478">
        <v>0</v>
      </c>
      <c r="V478">
        <v>16473</v>
      </c>
      <c r="W478" t="s">
        <v>30</v>
      </c>
      <c r="X478" s="6" t="s">
        <v>780</v>
      </c>
    </row>
    <row r="479" spans="1:24" hidden="1" x14ac:dyDescent="0.25">
      <c r="A479" t="s">
        <v>797</v>
      </c>
      <c r="B479" t="s">
        <v>222</v>
      </c>
      <c r="C479" t="s">
        <v>24</v>
      </c>
      <c r="D479">
        <v>77</v>
      </c>
      <c r="E479" s="1">
        <v>45566</v>
      </c>
      <c r="F479" t="s">
        <v>50</v>
      </c>
      <c r="G479" t="s">
        <v>26</v>
      </c>
      <c r="H479" t="str">
        <f>INDEX(Table1[Diagnosis],MATCH(I479,'codeand diagnosis'!$A$2:$A$11,0))</f>
        <v>Dental examination with radiology</v>
      </c>
      <c r="I479" t="s">
        <v>37</v>
      </c>
      <c r="J479" t="str">
        <f>INDEX(Table1[ICD-10 Code],MATCH(Table2[[#This Row],[Treatment]],Table1[Treatment Type],0))</f>
        <v>Z01.2</v>
      </c>
      <c r="K479" t="s">
        <v>28</v>
      </c>
      <c r="L479" t="s">
        <v>38</v>
      </c>
      <c r="M479" t="s">
        <v>29</v>
      </c>
      <c r="N479">
        <f>Table2[[#This Row],[Total Paid]]+Table2[[#This Row],[Due]]</f>
        <v>350</v>
      </c>
      <c r="O479">
        <v>0</v>
      </c>
      <c r="P479">
        <v>150</v>
      </c>
      <c r="Q479">
        <v>200</v>
      </c>
      <c r="R479">
        <v>0</v>
      </c>
      <c r="S479">
        <v>0</v>
      </c>
      <c r="T479">
        <v>350</v>
      </c>
      <c r="U479">
        <v>0</v>
      </c>
      <c r="V479">
        <v>350</v>
      </c>
      <c r="W479" t="s">
        <v>42</v>
      </c>
      <c r="X479" s="6" t="s">
        <v>780</v>
      </c>
    </row>
    <row r="480" spans="1:24" hidden="1" x14ac:dyDescent="0.25">
      <c r="A480" t="s">
        <v>798</v>
      </c>
      <c r="B480" t="s">
        <v>106</v>
      </c>
      <c r="C480" t="s">
        <v>24</v>
      </c>
      <c r="D480">
        <v>13</v>
      </c>
      <c r="E480" s="1">
        <v>45566</v>
      </c>
      <c r="F480" t="s">
        <v>25</v>
      </c>
      <c r="G480" t="s">
        <v>26</v>
      </c>
      <c r="H480" t="str">
        <f>INDEX(Table1[Diagnosis],MATCH(I480,'codeand diagnosis'!$A$2:$A$11,0))</f>
        <v>Dental examination</v>
      </c>
      <c r="I480" t="s">
        <v>45</v>
      </c>
      <c r="J480" t="str">
        <f>INDEX(Table1[ICD-10 Code],MATCH(Table2[[#This Row],[Treatment]],Table1[Treatment Type],0))</f>
        <v>Z01.2</v>
      </c>
      <c r="K480" t="s">
        <v>28</v>
      </c>
      <c r="L480" t="s">
        <v>28</v>
      </c>
      <c r="M480" t="s">
        <v>29</v>
      </c>
      <c r="N480">
        <f>Table2[[#This Row],[Total Paid]]+Table2[[#This Row],[Due]]</f>
        <v>120</v>
      </c>
      <c r="O480">
        <v>0</v>
      </c>
      <c r="P480">
        <v>0</v>
      </c>
      <c r="Q480">
        <v>200</v>
      </c>
      <c r="R480">
        <v>0</v>
      </c>
      <c r="S480">
        <v>80</v>
      </c>
      <c r="T480">
        <v>120</v>
      </c>
      <c r="U480">
        <v>0</v>
      </c>
      <c r="V480">
        <v>120</v>
      </c>
      <c r="W480" t="s">
        <v>42</v>
      </c>
      <c r="X480" s="6" t="s">
        <v>780</v>
      </c>
    </row>
    <row r="481" spans="1:24" hidden="1" x14ac:dyDescent="0.25">
      <c r="A481" t="s">
        <v>799</v>
      </c>
      <c r="B481" t="s">
        <v>243</v>
      </c>
      <c r="C481" t="s">
        <v>24</v>
      </c>
      <c r="D481">
        <v>23</v>
      </c>
      <c r="E481" s="1">
        <v>45597</v>
      </c>
      <c r="F481" t="s">
        <v>50</v>
      </c>
      <c r="G481" t="s">
        <v>26</v>
      </c>
      <c r="H481" t="str">
        <f>INDEX(Table1[Diagnosis],MATCH(I481,'codeand diagnosis'!$A$2:$A$11,0))</f>
        <v>Missing teeth</v>
      </c>
      <c r="I481" t="s">
        <v>78</v>
      </c>
      <c r="J481" t="str">
        <f>INDEX(Table1[ICD-10 Code],MATCH(Table2[[#This Row],[Treatment]],Table1[Treatment Type],0))</f>
        <v>K08.1</v>
      </c>
      <c r="K481" t="s">
        <v>28</v>
      </c>
      <c r="L481" t="s">
        <v>28</v>
      </c>
      <c r="M481" t="s">
        <v>29</v>
      </c>
      <c r="N481">
        <f>Table2[[#This Row],[Total Paid]]+Table2[[#This Row],[Due]]</f>
        <v>27255</v>
      </c>
      <c r="O481">
        <v>27255</v>
      </c>
      <c r="P481">
        <v>0</v>
      </c>
      <c r="Q481">
        <v>0</v>
      </c>
      <c r="R481">
        <v>7870</v>
      </c>
      <c r="S481">
        <v>0</v>
      </c>
      <c r="T481">
        <v>27255</v>
      </c>
      <c r="U481">
        <v>0</v>
      </c>
      <c r="V481">
        <v>19385</v>
      </c>
      <c r="W481" t="s">
        <v>42</v>
      </c>
      <c r="X481" s="6" t="s">
        <v>780</v>
      </c>
    </row>
    <row r="482" spans="1:24" hidden="1" x14ac:dyDescent="0.25">
      <c r="A482" t="s">
        <v>800</v>
      </c>
      <c r="B482" t="s">
        <v>222</v>
      </c>
      <c r="C482" t="s">
        <v>24</v>
      </c>
      <c r="D482">
        <v>26</v>
      </c>
      <c r="E482" s="1">
        <v>45597</v>
      </c>
      <c r="F482" t="s">
        <v>88</v>
      </c>
      <c r="G482" t="s">
        <v>36</v>
      </c>
      <c r="H482" t="str">
        <f>INDEX(Table1[Diagnosis],MATCH(I482,'codeand diagnosis'!$A$2:$A$11,0))</f>
        <v>Dental examination</v>
      </c>
      <c r="I482" t="s">
        <v>45</v>
      </c>
      <c r="J482" t="str">
        <f>INDEX(Table1[ICD-10 Code],MATCH(Table2[[#This Row],[Treatment]],Table1[Treatment Type],0))</f>
        <v>Z01.2</v>
      </c>
      <c r="K482" t="s">
        <v>28</v>
      </c>
      <c r="L482" t="s">
        <v>28</v>
      </c>
      <c r="M482" t="s">
        <v>61</v>
      </c>
      <c r="N482">
        <f>Table2[[#This Row],[Total Paid]]+Table2[[#This Row],[Due]]</f>
        <v>150</v>
      </c>
      <c r="O482">
        <v>0</v>
      </c>
      <c r="P482">
        <v>0</v>
      </c>
      <c r="Q482">
        <v>200</v>
      </c>
      <c r="R482">
        <v>0</v>
      </c>
      <c r="S482">
        <v>50</v>
      </c>
      <c r="T482">
        <v>150</v>
      </c>
      <c r="U482">
        <v>0</v>
      </c>
      <c r="V482">
        <v>150</v>
      </c>
      <c r="W482" t="s">
        <v>42</v>
      </c>
      <c r="X482" s="6" t="s">
        <v>780</v>
      </c>
    </row>
    <row r="483" spans="1:24" hidden="1" x14ac:dyDescent="0.25">
      <c r="A483" t="s">
        <v>801</v>
      </c>
      <c r="B483" t="s">
        <v>447</v>
      </c>
      <c r="C483" t="s">
        <v>24</v>
      </c>
      <c r="D483">
        <v>48</v>
      </c>
      <c r="E483" s="1">
        <v>45627</v>
      </c>
      <c r="F483" t="s">
        <v>132</v>
      </c>
      <c r="G483" t="s">
        <v>26</v>
      </c>
      <c r="H483" t="str">
        <f>INDEX(Table1[Diagnosis],MATCH(I483,'codeand diagnosis'!$A$2:$A$11,0))</f>
        <v>Dental examination</v>
      </c>
      <c r="I483" t="s">
        <v>45</v>
      </c>
      <c r="J483" t="str">
        <f>INDEX(Table1[ICD-10 Code],MATCH(Table2[[#This Row],[Treatment]],Table1[Treatment Type],0))</f>
        <v>Z01.2</v>
      </c>
      <c r="K483" t="s">
        <v>28</v>
      </c>
      <c r="L483" t="s">
        <v>28</v>
      </c>
      <c r="M483" t="s">
        <v>29</v>
      </c>
      <c r="N483">
        <f>Table2[[#This Row],[Total Paid]]+Table2[[#This Row],[Due]]</f>
        <v>200</v>
      </c>
      <c r="O483">
        <v>0</v>
      </c>
      <c r="P483">
        <v>0</v>
      </c>
      <c r="Q483">
        <v>200</v>
      </c>
      <c r="R483">
        <v>0</v>
      </c>
      <c r="S483">
        <v>0</v>
      </c>
      <c r="T483">
        <v>200</v>
      </c>
      <c r="U483">
        <v>0</v>
      </c>
      <c r="V483">
        <v>200</v>
      </c>
      <c r="W483" t="s">
        <v>47</v>
      </c>
      <c r="X483" s="6" t="s">
        <v>780</v>
      </c>
    </row>
    <row r="484" spans="1:24" hidden="1" x14ac:dyDescent="0.25">
      <c r="A484" t="s">
        <v>802</v>
      </c>
      <c r="B484" t="s">
        <v>86</v>
      </c>
      <c r="C484" t="s">
        <v>34</v>
      </c>
      <c r="D484">
        <v>50</v>
      </c>
      <c r="E484" s="1">
        <v>45627</v>
      </c>
      <c r="F484" t="s">
        <v>132</v>
      </c>
      <c r="G484" t="s">
        <v>36</v>
      </c>
      <c r="H484" t="str">
        <f>INDEX(Table1[Diagnosis],MATCH(I484,'codeand diagnosis'!$A$2:$A$11,0))</f>
        <v>Dental examination with radiology</v>
      </c>
      <c r="I484" t="s">
        <v>37</v>
      </c>
      <c r="J484" t="str">
        <f>INDEX(Table1[ICD-10 Code],MATCH(Table2[[#This Row],[Treatment]],Table1[Treatment Type],0))</f>
        <v>Z01.2</v>
      </c>
      <c r="K484" t="s">
        <v>28</v>
      </c>
      <c r="L484" t="s">
        <v>38</v>
      </c>
      <c r="M484" t="s">
        <v>29</v>
      </c>
      <c r="N484">
        <f>Table2[[#This Row],[Total Paid]]+Table2[[#This Row],[Due]]</f>
        <v>210</v>
      </c>
      <c r="O484">
        <v>0</v>
      </c>
      <c r="P484">
        <v>150</v>
      </c>
      <c r="Q484">
        <v>200</v>
      </c>
      <c r="R484">
        <v>0</v>
      </c>
      <c r="S484">
        <v>140</v>
      </c>
      <c r="T484">
        <v>210</v>
      </c>
      <c r="U484">
        <v>0</v>
      </c>
      <c r="V484">
        <v>210</v>
      </c>
      <c r="W484" t="s">
        <v>42</v>
      </c>
      <c r="X484" s="6" t="s">
        <v>780</v>
      </c>
    </row>
    <row r="485" spans="1:24" hidden="1" x14ac:dyDescent="0.25">
      <c r="A485" t="s">
        <v>803</v>
      </c>
      <c r="B485" t="s">
        <v>59</v>
      </c>
      <c r="C485" t="s">
        <v>34</v>
      </c>
      <c r="D485">
        <v>26</v>
      </c>
      <c r="E485" t="s">
        <v>804</v>
      </c>
      <c r="F485" t="s">
        <v>35</v>
      </c>
      <c r="G485" t="s">
        <v>26</v>
      </c>
      <c r="H485" t="str">
        <f>INDEX(Table1[Diagnosis],MATCH(I485,'codeand diagnosis'!$A$2:$A$11,0))</f>
        <v>Dental examination</v>
      </c>
      <c r="I485" t="s">
        <v>45</v>
      </c>
      <c r="J485" t="str">
        <f>INDEX(Table1[ICD-10 Code],MATCH(Table2[[#This Row],[Treatment]],Table1[Treatment Type],0))</f>
        <v>Z01.2</v>
      </c>
      <c r="K485" t="s">
        <v>28</v>
      </c>
      <c r="L485" t="s">
        <v>28</v>
      </c>
      <c r="M485" t="s">
        <v>46</v>
      </c>
      <c r="N485">
        <f>Table2[[#This Row],[Total Paid]]+Table2[[#This Row],[Due]]</f>
        <v>200</v>
      </c>
      <c r="O485">
        <v>0</v>
      </c>
      <c r="P485">
        <v>0</v>
      </c>
      <c r="Q485">
        <v>200</v>
      </c>
      <c r="R485">
        <v>0</v>
      </c>
      <c r="S485">
        <v>0</v>
      </c>
      <c r="T485">
        <v>200</v>
      </c>
      <c r="U485">
        <v>0</v>
      </c>
      <c r="V485">
        <v>200</v>
      </c>
      <c r="W485" t="s">
        <v>42</v>
      </c>
      <c r="X485" s="6" t="s">
        <v>780</v>
      </c>
    </row>
    <row r="486" spans="1:24" hidden="1" x14ac:dyDescent="0.25">
      <c r="A486" t="s">
        <v>805</v>
      </c>
      <c r="B486" t="s">
        <v>268</v>
      </c>
      <c r="C486" t="s">
        <v>34</v>
      </c>
      <c r="D486">
        <v>58</v>
      </c>
      <c r="E486" t="s">
        <v>804</v>
      </c>
      <c r="F486" t="s">
        <v>88</v>
      </c>
      <c r="G486" t="s">
        <v>26</v>
      </c>
      <c r="H486" t="str">
        <f>INDEX(Table1[Diagnosis],MATCH(I486,'codeand diagnosis'!$A$2:$A$11,0))</f>
        <v>Dental examination</v>
      </c>
      <c r="I486" t="s">
        <v>45</v>
      </c>
      <c r="J486" t="str">
        <f>INDEX(Table1[ICD-10 Code],MATCH(Table2[[#This Row],[Treatment]],Table1[Treatment Type],0))</f>
        <v>Z01.2</v>
      </c>
      <c r="K486" t="s">
        <v>28</v>
      </c>
      <c r="L486" t="s">
        <v>28</v>
      </c>
      <c r="M486" t="s">
        <v>29</v>
      </c>
      <c r="N486">
        <f>Table2[[#This Row],[Total Paid]]+Table2[[#This Row],[Due]]</f>
        <v>120</v>
      </c>
      <c r="O486">
        <v>0</v>
      </c>
      <c r="P486">
        <v>0</v>
      </c>
      <c r="Q486">
        <v>200</v>
      </c>
      <c r="R486">
        <v>0</v>
      </c>
      <c r="S486">
        <v>80</v>
      </c>
      <c r="T486">
        <v>120</v>
      </c>
      <c r="U486">
        <v>0</v>
      </c>
      <c r="V486">
        <v>120</v>
      </c>
      <c r="W486" t="s">
        <v>51</v>
      </c>
      <c r="X486" s="6" t="s">
        <v>780</v>
      </c>
    </row>
    <row r="487" spans="1:24" hidden="1" x14ac:dyDescent="0.25">
      <c r="A487" t="s">
        <v>806</v>
      </c>
      <c r="B487" t="s">
        <v>314</v>
      </c>
      <c r="C487" t="s">
        <v>24</v>
      </c>
      <c r="D487">
        <v>55</v>
      </c>
      <c r="E487" t="s">
        <v>807</v>
      </c>
      <c r="F487" t="s">
        <v>88</v>
      </c>
      <c r="G487" t="s">
        <v>36</v>
      </c>
      <c r="H487" t="str">
        <f>INDEX(Table1[Diagnosis],MATCH(I487,'codeand diagnosis'!$A$2:$A$11,0))</f>
        <v>Dental examination with radiology</v>
      </c>
      <c r="I487" t="s">
        <v>37</v>
      </c>
      <c r="J487" t="str">
        <f>INDEX(Table1[ICD-10 Code],MATCH(Table2[[#This Row],[Treatment]],Table1[Treatment Type],0))</f>
        <v>Z01.2</v>
      </c>
      <c r="K487" t="s">
        <v>28</v>
      </c>
      <c r="L487" t="s">
        <v>38</v>
      </c>
      <c r="M487" t="s">
        <v>29</v>
      </c>
      <c r="N487">
        <f>Table2[[#This Row],[Total Paid]]+Table2[[#This Row],[Due]]</f>
        <v>350</v>
      </c>
      <c r="O487">
        <v>0</v>
      </c>
      <c r="P487">
        <v>150</v>
      </c>
      <c r="Q487">
        <v>200</v>
      </c>
      <c r="R487">
        <v>0</v>
      </c>
      <c r="S487">
        <v>0</v>
      </c>
      <c r="T487">
        <v>350</v>
      </c>
      <c r="U487">
        <v>0</v>
      </c>
      <c r="V487">
        <v>350</v>
      </c>
      <c r="W487" t="s">
        <v>51</v>
      </c>
      <c r="X487" s="6" t="s">
        <v>780</v>
      </c>
    </row>
    <row r="488" spans="1:24" hidden="1" x14ac:dyDescent="0.25">
      <c r="A488" t="s">
        <v>808</v>
      </c>
      <c r="B488" t="s">
        <v>398</v>
      </c>
      <c r="C488" t="s">
        <v>34</v>
      </c>
      <c r="D488">
        <v>75</v>
      </c>
      <c r="E488" t="s">
        <v>807</v>
      </c>
      <c r="F488" t="s">
        <v>35</v>
      </c>
      <c r="G488" t="s">
        <v>26</v>
      </c>
      <c r="H488" t="str">
        <f>INDEX(Table1[Diagnosis],MATCH(I488,'codeand diagnosis'!$A$2:$A$11,0))</f>
        <v>Dental examination with radiology</v>
      </c>
      <c r="I488" t="s">
        <v>37</v>
      </c>
      <c r="J488" t="str">
        <f>INDEX(Table1[ICD-10 Code],MATCH(Table2[[#This Row],[Treatment]],Table1[Treatment Type],0))</f>
        <v>Z01.2</v>
      </c>
      <c r="K488" t="s">
        <v>28</v>
      </c>
      <c r="L488" t="s">
        <v>38</v>
      </c>
      <c r="M488" t="s">
        <v>29</v>
      </c>
      <c r="N488">
        <f>Table2[[#This Row],[Total Paid]]+Table2[[#This Row],[Due]]</f>
        <v>350</v>
      </c>
      <c r="O488">
        <v>0</v>
      </c>
      <c r="P488">
        <v>150</v>
      </c>
      <c r="Q488">
        <v>200</v>
      </c>
      <c r="R488">
        <v>0</v>
      </c>
      <c r="S488">
        <v>0</v>
      </c>
      <c r="T488">
        <v>350</v>
      </c>
      <c r="U488">
        <v>0</v>
      </c>
      <c r="V488">
        <v>350</v>
      </c>
      <c r="W488" t="s">
        <v>47</v>
      </c>
      <c r="X488" s="6" t="s">
        <v>780</v>
      </c>
    </row>
    <row r="489" spans="1:24" hidden="1" x14ac:dyDescent="0.25">
      <c r="A489" t="s">
        <v>809</v>
      </c>
      <c r="B489" t="s">
        <v>180</v>
      </c>
      <c r="C489" t="s">
        <v>24</v>
      </c>
      <c r="D489">
        <v>51</v>
      </c>
      <c r="E489" t="s">
        <v>807</v>
      </c>
      <c r="F489" t="s">
        <v>35</v>
      </c>
      <c r="G489" t="s">
        <v>26</v>
      </c>
      <c r="H489" t="str">
        <f>INDEX(Table1[Diagnosis],MATCH(I489,'codeand diagnosis'!$A$2:$A$11,0))</f>
        <v>Malocclusion</v>
      </c>
      <c r="I489" t="s">
        <v>89</v>
      </c>
      <c r="J489" t="str">
        <f>INDEX(Table1[ICD-10 Code],MATCH(Table2[[#This Row],[Treatment]],Table1[Treatment Type],0))</f>
        <v>K07.4</v>
      </c>
      <c r="K489" t="s">
        <v>28</v>
      </c>
      <c r="L489" t="s">
        <v>38</v>
      </c>
      <c r="M489" t="s">
        <v>29</v>
      </c>
      <c r="N489">
        <f>Table2[[#This Row],[Total Paid]]+Table2[[#This Row],[Due]]</f>
        <v>12067</v>
      </c>
      <c r="O489">
        <v>13567</v>
      </c>
      <c r="P489">
        <v>0</v>
      </c>
      <c r="Q489">
        <v>0</v>
      </c>
      <c r="R489">
        <v>4010</v>
      </c>
      <c r="S489">
        <v>1500</v>
      </c>
      <c r="T489">
        <v>12067</v>
      </c>
      <c r="U489">
        <v>0</v>
      </c>
      <c r="V489">
        <v>8057</v>
      </c>
      <c r="W489" t="s">
        <v>42</v>
      </c>
      <c r="X489" s="6" t="s">
        <v>780</v>
      </c>
    </row>
    <row r="490" spans="1:24" hidden="1" x14ac:dyDescent="0.25">
      <c r="A490" t="s">
        <v>810</v>
      </c>
      <c r="B490" t="s">
        <v>611</v>
      </c>
      <c r="C490" t="s">
        <v>34</v>
      </c>
      <c r="D490">
        <v>39</v>
      </c>
      <c r="E490" t="s">
        <v>811</v>
      </c>
      <c r="F490" t="s">
        <v>50</v>
      </c>
      <c r="G490" t="s">
        <v>26</v>
      </c>
      <c r="H490" t="str">
        <f>INDEX(Table1[Diagnosis],MATCH(I490,'codeand diagnosis'!$A$2:$A$11,0))</f>
        <v>Dental examination with radiology</v>
      </c>
      <c r="I490" t="s">
        <v>37</v>
      </c>
      <c r="J490" t="str">
        <f>INDEX(Table1[ICD-10 Code],MATCH(Table2[[#This Row],[Treatment]],Table1[Treatment Type],0))</f>
        <v>Z01.2</v>
      </c>
      <c r="K490" t="s">
        <v>28</v>
      </c>
      <c r="L490" t="s">
        <v>38</v>
      </c>
      <c r="M490" t="s">
        <v>46</v>
      </c>
      <c r="N490">
        <f>Table2[[#This Row],[Total Paid]]+Table2[[#This Row],[Due]]</f>
        <v>210</v>
      </c>
      <c r="O490">
        <v>0</v>
      </c>
      <c r="P490">
        <v>150</v>
      </c>
      <c r="Q490">
        <v>200</v>
      </c>
      <c r="R490">
        <v>0</v>
      </c>
      <c r="S490">
        <v>140</v>
      </c>
      <c r="T490">
        <v>210</v>
      </c>
      <c r="U490">
        <v>0</v>
      </c>
      <c r="V490">
        <v>210</v>
      </c>
      <c r="W490" t="s">
        <v>42</v>
      </c>
      <c r="X490" s="6" t="s">
        <v>780</v>
      </c>
    </row>
    <row r="491" spans="1:24" hidden="1" x14ac:dyDescent="0.25">
      <c r="A491" t="s">
        <v>812</v>
      </c>
      <c r="B491" t="s">
        <v>100</v>
      </c>
      <c r="C491" t="s">
        <v>34</v>
      </c>
      <c r="D491">
        <v>19</v>
      </c>
      <c r="E491" t="s">
        <v>813</v>
      </c>
      <c r="F491" t="s">
        <v>50</v>
      </c>
      <c r="G491" t="s">
        <v>36</v>
      </c>
      <c r="H491" t="str">
        <f>INDEX(Table1[Diagnosis],MATCH(I491,'codeand diagnosis'!$A$2:$A$11,0))</f>
        <v>Dental examination</v>
      </c>
      <c r="I491" t="s">
        <v>45</v>
      </c>
      <c r="J491" t="str">
        <f>INDEX(Table1[ICD-10 Code],MATCH(Table2[[#This Row],[Treatment]],Table1[Treatment Type],0))</f>
        <v>Z01.2</v>
      </c>
      <c r="K491" t="s">
        <v>28</v>
      </c>
      <c r="L491" t="s">
        <v>28</v>
      </c>
      <c r="M491" t="s">
        <v>29</v>
      </c>
      <c r="N491">
        <f>Table2[[#This Row],[Total Paid]]+Table2[[#This Row],[Due]]</f>
        <v>120</v>
      </c>
      <c r="O491">
        <v>0</v>
      </c>
      <c r="P491">
        <v>0</v>
      </c>
      <c r="Q491">
        <v>200</v>
      </c>
      <c r="R491">
        <v>0</v>
      </c>
      <c r="S491">
        <v>80</v>
      </c>
      <c r="T491">
        <v>120</v>
      </c>
      <c r="U491">
        <v>0</v>
      </c>
      <c r="V491">
        <v>120</v>
      </c>
      <c r="W491" t="s">
        <v>51</v>
      </c>
      <c r="X491" s="6" t="s">
        <v>780</v>
      </c>
    </row>
    <row r="492" spans="1:24" hidden="1" x14ac:dyDescent="0.25">
      <c r="A492" t="s">
        <v>814</v>
      </c>
      <c r="B492" t="s">
        <v>232</v>
      </c>
      <c r="C492" t="s">
        <v>24</v>
      </c>
      <c r="D492">
        <v>23</v>
      </c>
      <c r="E492" t="s">
        <v>813</v>
      </c>
      <c r="F492" t="s">
        <v>35</v>
      </c>
      <c r="G492" t="s">
        <v>26</v>
      </c>
      <c r="H492" t="str">
        <f>INDEX(Table1[Diagnosis],MATCH(I492,'codeand diagnosis'!$A$2:$A$11,0))</f>
        <v>Dental examination</v>
      </c>
      <c r="I492" t="s">
        <v>45</v>
      </c>
      <c r="J492" t="str">
        <f>INDEX(Table1[ICD-10 Code],MATCH(Table2[[#This Row],[Treatment]],Table1[Treatment Type],0))</f>
        <v>Z01.2</v>
      </c>
      <c r="K492" t="s">
        <v>28</v>
      </c>
      <c r="L492" t="s">
        <v>28</v>
      </c>
      <c r="M492" t="s">
        <v>29</v>
      </c>
      <c r="N492">
        <f>Table2[[#This Row],[Total Paid]]+Table2[[#This Row],[Due]]</f>
        <v>120</v>
      </c>
      <c r="O492">
        <v>0</v>
      </c>
      <c r="P492">
        <v>0</v>
      </c>
      <c r="Q492">
        <v>200</v>
      </c>
      <c r="R492">
        <v>0</v>
      </c>
      <c r="S492">
        <v>80</v>
      </c>
      <c r="T492">
        <v>120</v>
      </c>
      <c r="U492">
        <v>0</v>
      </c>
      <c r="V492">
        <v>120</v>
      </c>
      <c r="W492" t="s">
        <v>51</v>
      </c>
      <c r="X492" s="6" t="s">
        <v>780</v>
      </c>
    </row>
    <row r="493" spans="1:24" hidden="1" x14ac:dyDescent="0.25">
      <c r="A493" t="s">
        <v>815</v>
      </c>
      <c r="B493" t="s">
        <v>148</v>
      </c>
      <c r="C493" t="s">
        <v>24</v>
      </c>
      <c r="D493">
        <v>13</v>
      </c>
      <c r="E493" t="s">
        <v>816</v>
      </c>
      <c r="F493" t="s">
        <v>50</v>
      </c>
      <c r="G493" t="s">
        <v>26</v>
      </c>
      <c r="H493" t="str">
        <f>INDEX(Table1[Diagnosis],MATCH(I493,'codeand diagnosis'!$A$2:$A$11,0))</f>
        <v>Dental examination with radiology</v>
      </c>
      <c r="I493" t="s">
        <v>37</v>
      </c>
      <c r="J493" t="str">
        <f>INDEX(Table1[ICD-10 Code],MATCH(Table2[[#This Row],[Treatment]],Table1[Treatment Type],0))</f>
        <v>Z01.2</v>
      </c>
      <c r="K493" t="s">
        <v>28</v>
      </c>
      <c r="L493" t="s">
        <v>38</v>
      </c>
      <c r="M493" t="s">
        <v>29</v>
      </c>
      <c r="N493">
        <f>Table2[[#This Row],[Total Paid]]+Table2[[#This Row],[Due]]</f>
        <v>350</v>
      </c>
      <c r="O493">
        <v>0</v>
      </c>
      <c r="P493">
        <v>150</v>
      </c>
      <c r="Q493">
        <v>200</v>
      </c>
      <c r="R493">
        <v>0</v>
      </c>
      <c r="S493">
        <v>0</v>
      </c>
      <c r="T493">
        <v>350</v>
      </c>
      <c r="U493">
        <v>0</v>
      </c>
      <c r="V493">
        <v>350</v>
      </c>
      <c r="W493" t="s">
        <v>51</v>
      </c>
      <c r="X493" s="6" t="s">
        <v>780</v>
      </c>
    </row>
    <row r="494" spans="1:24" hidden="1" x14ac:dyDescent="0.25">
      <c r="A494" t="s">
        <v>817</v>
      </c>
      <c r="B494" t="s">
        <v>237</v>
      </c>
      <c r="C494" t="s">
        <v>34</v>
      </c>
      <c r="D494">
        <v>35</v>
      </c>
      <c r="E494" t="s">
        <v>816</v>
      </c>
      <c r="F494" t="s">
        <v>35</v>
      </c>
      <c r="G494" t="s">
        <v>26</v>
      </c>
      <c r="H494" t="str">
        <f>INDEX(Table1[Diagnosis],MATCH(I494,'codeand diagnosis'!$A$2:$A$11,0))</f>
        <v>Dental examination</v>
      </c>
      <c r="I494" t="s">
        <v>45</v>
      </c>
      <c r="J494" t="str">
        <f>INDEX(Table1[ICD-10 Code],MATCH(Table2[[#This Row],[Treatment]],Table1[Treatment Type],0))</f>
        <v>Z01.2</v>
      </c>
      <c r="K494" t="s">
        <v>28</v>
      </c>
      <c r="L494" t="s">
        <v>28</v>
      </c>
      <c r="M494" t="s">
        <v>29</v>
      </c>
      <c r="N494">
        <f>Table2[[#This Row],[Total Paid]]+Table2[[#This Row],[Due]]</f>
        <v>200</v>
      </c>
      <c r="O494">
        <v>0</v>
      </c>
      <c r="P494">
        <v>0</v>
      </c>
      <c r="Q494">
        <v>200</v>
      </c>
      <c r="R494">
        <v>0</v>
      </c>
      <c r="S494">
        <v>0</v>
      </c>
      <c r="T494">
        <v>200</v>
      </c>
      <c r="U494">
        <v>0</v>
      </c>
      <c r="V494">
        <v>200</v>
      </c>
      <c r="W494" t="s">
        <v>42</v>
      </c>
      <c r="X494" s="6" t="s">
        <v>780</v>
      </c>
    </row>
    <row r="495" spans="1:24" hidden="1" x14ac:dyDescent="0.25">
      <c r="A495" t="s">
        <v>818</v>
      </c>
      <c r="B495" t="s">
        <v>201</v>
      </c>
      <c r="C495" t="s">
        <v>34</v>
      </c>
      <c r="D495">
        <v>41</v>
      </c>
      <c r="E495" t="s">
        <v>819</v>
      </c>
      <c r="F495" t="s">
        <v>50</v>
      </c>
      <c r="G495" t="s">
        <v>26</v>
      </c>
      <c r="H495" t="str">
        <f>INDEX(Table1[Diagnosis],MATCH(I495,'codeand diagnosis'!$A$2:$A$11,0))</f>
        <v>Pulpitis</v>
      </c>
      <c r="I495" t="s">
        <v>111</v>
      </c>
      <c r="J495" t="str">
        <f>INDEX(Table1[ICD-10 Code],MATCH(Table2[[#This Row],[Treatment]],Table1[Treatment Type],0))</f>
        <v>K04.0</v>
      </c>
      <c r="K495" t="s">
        <v>28</v>
      </c>
      <c r="L495" t="s">
        <v>38</v>
      </c>
      <c r="M495" t="s">
        <v>29</v>
      </c>
      <c r="N495">
        <f>Table2[[#This Row],[Total Paid]]+Table2[[#This Row],[Due]]</f>
        <v>3169</v>
      </c>
      <c r="O495">
        <v>3169</v>
      </c>
      <c r="P495">
        <v>0</v>
      </c>
      <c r="Q495">
        <v>0</v>
      </c>
      <c r="R495">
        <v>0</v>
      </c>
      <c r="S495">
        <v>0</v>
      </c>
      <c r="T495">
        <v>2945</v>
      </c>
      <c r="U495">
        <v>224</v>
      </c>
      <c r="V495">
        <v>2945</v>
      </c>
      <c r="W495" t="s">
        <v>42</v>
      </c>
      <c r="X495" s="6" t="s">
        <v>780</v>
      </c>
    </row>
    <row r="496" spans="1:24" hidden="1" x14ac:dyDescent="0.25">
      <c r="A496" t="s">
        <v>820</v>
      </c>
      <c r="B496" t="s">
        <v>262</v>
      </c>
      <c r="C496" t="s">
        <v>34</v>
      </c>
      <c r="D496">
        <v>35</v>
      </c>
      <c r="E496" t="s">
        <v>821</v>
      </c>
      <c r="F496" t="s">
        <v>50</v>
      </c>
      <c r="G496" t="s">
        <v>26</v>
      </c>
      <c r="H496" t="str">
        <f>INDEX(Table1[Diagnosis],MATCH(I496,'codeand diagnosis'!$A$2:$A$11,0))</f>
        <v>Dental examination with radiology</v>
      </c>
      <c r="I496" t="s">
        <v>37</v>
      </c>
      <c r="J496" t="str">
        <f>INDEX(Table1[ICD-10 Code],MATCH(Table2[[#This Row],[Treatment]],Table1[Treatment Type],0))</f>
        <v>Z01.2</v>
      </c>
      <c r="K496" t="s">
        <v>28</v>
      </c>
      <c r="L496" t="s">
        <v>38</v>
      </c>
      <c r="M496" t="s">
        <v>29</v>
      </c>
      <c r="N496">
        <f>Table2[[#This Row],[Total Paid]]+Table2[[#This Row],[Due]]</f>
        <v>350</v>
      </c>
      <c r="O496">
        <v>0</v>
      </c>
      <c r="P496">
        <v>150</v>
      </c>
      <c r="Q496">
        <v>200</v>
      </c>
      <c r="R496">
        <v>0</v>
      </c>
      <c r="S496">
        <v>0</v>
      </c>
      <c r="T496">
        <v>350</v>
      </c>
      <c r="U496">
        <v>0</v>
      </c>
      <c r="V496">
        <v>350</v>
      </c>
      <c r="W496" t="s">
        <v>47</v>
      </c>
      <c r="X496" s="6" t="s">
        <v>780</v>
      </c>
    </row>
    <row r="497" spans="1:24" hidden="1" x14ac:dyDescent="0.25">
      <c r="A497" t="s">
        <v>822</v>
      </c>
      <c r="B497" t="s">
        <v>167</v>
      </c>
      <c r="C497" t="s">
        <v>24</v>
      </c>
      <c r="D497">
        <v>73</v>
      </c>
      <c r="E497" t="s">
        <v>823</v>
      </c>
      <c r="F497" t="s">
        <v>35</v>
      </c>
      <c r="G497" t="s">
        <v>36</v>
      </c>
      <c r="H497" t="str">
        <f>INDEX(Table1[Diagnosis],MATCH(I497,'codeand diagnosis'!$A$2:$A$11,0))</f>
        <v>Dental examination with radiology</v>
      </c>
      <c r="I497" t="s">
        <v>37</v>
      </c>
      <c r="J497" t="str">
        <f>INDEX(Table1[ICD-10 Code],MATCH(Table2[[#This Row],[Treatment]],Table1[Treatment Type],0))</f>
        <v>Z01.2</v>
      </c>
      <c r="K497" t="s">
        <v>28</v>
      </c>
      <c r="L497" t="s">
        <v>38</v>
      </c>
      <c r="M497" t="s">
        <v>29</v>
      </c>
      <c r="N497">
        <f>Table2[[#This Row],[Total Paid]]+Table2[[#This Row],[Due]]</f>
        <v>210</v>
      </c>
      <c r="O497">
        <v>0</v>
      </c>
      <c r="P497">
        <v>150</v>
      </c>
      <c r="Q497">
        <v>200</v>
      </c>
      <c r="R497">
        <v>0</v>
      </c>
      <c r="S497">
        <v>140</v>
      </c>
      <c r="T497">
        <v>210</v>
      </c>
      <c r="U497">
        <v>0</v>
      </c>
      <c r="V497">
        <v>210</v>
      </c>
      <c r="W497" t="s">
        <v>42</v>
      </c>
      <c r="X497" s="6" t="s">
        <v>780</v>
      </c>
    </row>
    <row r="498" spans="1:24" hidden="1" x14ac:dyDescent="0.25">
      <c r="A498" t="s">
        <v>824</v>
      </c>
      <c r="B498" t="s">
        <v>103</v>
      </c>
      <c r="C498" t="s">
        <v>34</v>
      </c>
      <c r="D498">
        <v>77</v>
      </c>
      <c r="E498" t="s">
        <v>823</v>
      </c>
      <c r="F498" t="s">
        <v>50</v>
      </c>
      <c r="G498" t="s">
        <v>26</v>
      </c>
      <c r="H498" t="str">
        <f>INDEX(Table1[Diagnosis],MATCH(I498,'codeand diagnosis'!$A$2:$A$11,0))</f>
        <v>Cosmetic procedure</v>
      </c>
      <c r="I498" t="s">
        <v>55</v>
      </c>
      <c r="J498" t="str">
        <f>INDEX(Table1[ICD-10 Code],MATCH(Table2[[#This Row],[Treatment]],Table1[Treatment Type],0))</f>
        <v>Z41.1</v>
      </c>
      <c r="K498" t="s">
        <v>28</v>
      </c>
      <c r="L498" t="s">
        <v>38</v>
      </c>
      <c r="M498" t="s">
        <v>46</v>
      </c>
      <c r="N498">
        <f>Table2[[#This Row],[Total Paid]]+Table2[[#This Row],[Due]]</f>
        <v>1480</v>
      </c>
      <c r="O498">
        <v>1480</v>
      </c>
      <c r="P498">
        <v>0</v>
      </c>
      <c r="Q498">
        <v>0</v>
      </c>
      <c r="R498">
        <v>0</v>
      </c>
      <c r="S498">
        <v>0</v>
      </c>
      <c r="T498">
        <v>1480</v>
      </c>
      <c r="U498">
        <v>0</v>
      </c>
      <c r="V498">
        <v>1480</v>
      </c>
      <c r="W498" t="s">
        <v>30</v>
      </c>
      <c r="X498" s="6" t="s">
        <v>780</v>
      </c>
    </row>
    <row r="499" spans="1:24" hidden="1" x14ac:dyDescent="0.25">
      <c r="A499" t="s">
        <v>825</v>
      </c>
      <c r="B499" t="s">
        <v>84</v>
      </c>
      <c r="C499" t="s">
        <v>34</v>
      </c>
      <c r="D499">
        <v>31</v>
      </c>
      <c r="E499" t="s">
        <v>823</v>
      </c>
      <c r="F499" t="s">
        <v>88</v>
      </c>
      <c r="G499" t="s">
        <v>26</v>
      </c>
      <c r="H499" t="str">
        <f>INDEX(Table1[Diagnosis],MATCH(I499,'codeand diagnosis'!$A$2:$A$11,0))</f>
        <v>Dental examination</v>
      </c>
      <c r="I499" t="s">
        <v>45</v>
      </c>
      <c r="J499" t="str">
        <f>INDEX(Table1[ICD-10 Code],MATCH(Table2[[#This Row],[Treatment]],Table1[Treatment Type],0))</f>
        <v>Z01.2</v>
      </c>
      <c r="K499" t="s">
        <v>28</v>
      </c>
      <c r="L499" t="s">
        <v>28</v>
      </c>
      <c r="M499" t="s">
        <v>29</v>
      </c>
      <c r="N499">
        <f>Table2[[#This Row],[Total Paid]]+Table2[[#This Row],[Due]]</f>
        <v>200</v>
      </c>
      <c r="O499">
        <v>0</v>
      </c>
      <c r="P499">
        <v>0</v>
      </c>
      <c r="Q499">
        <v>200</v>
      </c>
      <c r="R499">
        <v>0</v>
      </c>
      <c r="S499">
        <v>0</v>
      </c>
      <c r="T499">
        <v>200</v>
      </c>
      <c r="U499">
        <v>0</v>
      </c>
      <c r="V499">
        <v>200</v>
      </c>
      <c r="W499" t="s">
        <v>42</v>
      </c>
      <c r="X499" s="6" t="s">
        <v>780</v>
      </c>
    </row>
    <row r="500" spans="1:24" hidden="1" x14ac:dyDescent="0.25">
      <c r="A500" t="s">
        <v>826</v>
      </c>
      <c r="B500" t="s">
        <v>137</v>
      </c>
      <c r="C500" t="s">
        <v>24</v>
      </c>
      <c r="D500">
        <v>46</v>
      </c>
      <c r="E500" t="s">
        <v>827</v>
      </c>
      <c r="F500" t="s">
        <v>88</v>
      </c>
      <c r="G500" t="s">
        <v>36</v>
      </c>
      <c r="H500" t="str">
        <f>INDEX(Table1[Diagnosis],MATCH(I500,'codeand diagnosis'!$A$2:$A$11,0))</f>
        <v>Dental examination</v>
      </c>
      <c r="I500" t="s">
        <v>45</v>
      </c>
      <c r="J500" t="str">
        <f>INDEX(Table1[ICD-10 Code],MATCH(Table2[[#This Row],[Treatment]],Table1[Treatment Type],0))</f>
        <v>Z01.2</v>
      </c>
      <c r="K500" t="s">
        <v>28</v>
      </c>
      <c r="L500" t="s">
        <v>28</v>
      </c>
      <c r="M500" t="s">
        <v>29</v>
      </c>
      <c r="N500">
        <f>Table2[[#This Row],[Total Paid]]+Table2[[#This Row],[Due]]</f>
        <v>200</v>
      </c>
      <c r="O500">
        <v>0</v>
      </c>
      <c r="P500">
        <v>0</v>
      </c>
      <c r="Q500">
        <v>200</v>
      </c>
      <c r="R500">
        <v>0</v>
      </c>
      <c r="S500">
        <v>0</v>
      </c>
      <c r="T500">
        <v>200</v>
      </c>
      <c r="U500">
        <v>0</v>
      </c>
      <c r="V500">
        <v>200</v>
      </c>
      <c r="W500" t="s">
        <v>51</v>
      </c>
      <c r="X500" s="6" t="s">
        <v>780</v>
      </c>
    </row>
    <row r="501" spans="1:24" hidden="1" x14ac:dyDescent="0.25">
      <c r="A501" t="s">
        <v>828</v>
      </c>
      <c r="B501" t="s">
        <v>156</v>
      </c>
      <c r="C501" t="s">
        <v>24</v>
      </c>
      <c r="D501">
        <v>35</v>
      </c>
      <c r="E501" t="s">
        <v>827</v>
      </c>
      <c r="F501" t="s">
        <v>54</v>
      </c>
      <c r="G501" t="s">
        <v>36</v>
      </c>
      <c r="H501" t="str">
        <f>INDEX(Table1[Diagnosis],MATCH(I501,'codeand diagnosis'!$A$2:$A$11,0))</f>
        <v>Loss of teeth</v>
      </c>
      <c r="I501" t="s">
        <v>68</v>
      </c>
      <c r="J501" t="str">
        <f>INDEX(Table1[ICD-10 Code],MATCH(Table2[[#This Row],[Treatment]],Table1[Treatment Type],0))</f>
        <v>K08.1</v>
      </c>
      <c r="K501" t="s">
        <v>28</v>
      </c>
      <c r="L501" t="s">
        <v>38</v>
      </c>
      <c r="M501" t="s">
        <v>29</v>
      </c>
      <c r="N501">
        <f>Table2[[#This Row],[Total Paid]]+Table2[[#This Row],[Due]]</f>
        <v>576</v>
      </c>
      <c r="O501">
        <v>576</v>
      </c>
      <c r="P501">
        <v>0</v>
      </c>
      <c r="Q501">
        <v>0</v>
      </c>
      <c r="R501">
        <v>0</v>
      </c>
      <c r="S501">
        <v>0</v>
      </c>
      <c r="T501">
        <v>576</v>
      </c>
      <c r="U501">
        <v>0</v>
      </c>
      <c r="V501">
        <v>576</v>
      </c>
      <c r="W501" t="s">
        <v>42</v>
      </c>
      <c r="X501" s="6" t="s">
        <v>780</v>
      </c>
    </row>
    <row r="502" spans="1:24" hidden="1" x14ac:dyDescent="0.25">
      <c r="A502" t="s">
        <v>829</v>
      </c>
      <c r="B502" t="s">
        <v>159</v>
      </c>
      <c r="C502" t="s">
        <v>24</v>
      </c>
      <c r="D502">
        <v>23</v>
      </c>
      <c r="E502" t="s">
        <v>830</v>
      </c>
      <c r="F502" t="s">
        <v>25</v>
      </c>
      <c r="G502" t="s">
        <v>26</v>
      </c>
      <c r="H502" t="str">
        <f>INDEX(Table1[Diagnosis],MATCH(I502,'codeand diagnosis'!$A$2:$A$11,0))</f>
        <v>Dental examination</v>
      </c>
      <c r="I502" t="s">
        <v>45</v>
      </c>
      <c r="J502" t="str">
        <f>INDEX(Table1[ICD-10 Code],MATCH(Table2[[#This Row],[Treatment]],Table1[Treatment Type],0))</f>
        <v>Z01.2</v>
      </c>
      <c r="K502" t="s">
        <v>28</v>
      </c>
      <c r="L502" t="s">
        <v>28</v>
      </c>
      <c r="M502" t="s">
        <v>29</v>
      </c>
      <c r="N502">
        <f>Table2[[#This Row],[Total Paid]]+Table2[[#This Row],[Due]]</f>
        <v>200</v>
      </c>
      <c r="O502">
        <v>0</v>
      </c>
      <c r="P502">
        <v>0</v>
      </c>
      <c r="Q502">
        <v>200</v>
      </c>
      <c r="R502">
        <v>0</v>
      </c>
      <c r="S502">
        <v>0</v>
      </c>
      <c r="T502">
        <v>200</v>
      </c>
      <c r="U502">
        <v>0</v>
      </c>
      <c r="V502">
        <v>200</v>
      </c>
      <c r="W502" t="s">
        <v>42</v>
      </c>
      <c r="X502" s="6" t="s">
        <v>780</v>
      </c>
    </row>
    <row r="503" spans="1:24" hidden="1" x14ac:dyDescent="0.25">
      <c r="A503" t="s">
        <v>831</v>
      </c>
      <c r="B503" t="s">
        <v>144</v>
      </c>
      <c r="C503" t="s">
        <v>24</v>
      </c>
      <c r="D503">
        <v>19</v>
      </c>
      <c r="E503" t="s">
        <v>830</v>
      </c>
      <c r="F503" t="s">
        <v>60</v>
      </c>
      <c r="G503" t="s">
        <v>26</v>
      </c>
      <c r="H503" t="str">
        <f>INDEX(Table1[Diagnosis],MATCH(I503,'codeand diagnosis'!$A$2:$A$11,0))</f>
        <v>Missing teeth</v>
      </c>
      <c r="I503" t="s">
        <v>78</v>
      </c>
      <c r="J503" t="str">
        <f>INDEX(Table1[ICD-10 Code],MATCH(Table2[[#This Row],[Treatment]],Table1[Treatment Type],0))</f>
        <v>K08.1</v>
      </c>
      <c r="K503" t="s">
        <v>28</v>
      </c>
      <c r="L503" t="s">
        <v>28</v>
      </c>
      <c r="M503" t="s">
        <v>29</v>
      </c>
      <c r="N503">
        <f>Table2[[#This Row],[Total Paid]]+Table2[[#This Row],[Due]]</f>
        <v>20558</v>
      </c>
      <c r="O503">
        <v>20558</v>
      </c>
      <c r="P503">
        <v>0</v>
      </c>
      <c r="Q503">
        <v>0</v>
      </c>
      <c r="R503">
        <v>7110</v>
      </c>
      <c r="S503">
        <v>0</v>
      </c>
      <c r="T503">
        <v>20558</v>
      </c>
      <c r="U503">
        <v>0</v>
      </c>
      <c r="V503">
        <v>13448</v>
      </c>
      <c r="W503" t="s">
        <v>30</v>
      </c>
      <c r="X503" s="6" t="s">
        <v>780</v>
      </c>
    </row>
    <row r="504" spans="1:24" hidden="1" x14ac:dyDescent="0.25">
      <c r="A504" t="s">
        <v>832</v>
      </c>
      <c r="B504" t="s">
        <v>188</v>
      </c>
      <c r="C504" t="s">
        <v>34</v>
      </c>
      <c r="D504">
        <v>78</v>
      </c>
      <c r="E504" t="s">
        <v>833</v>
      </c>
      <c r="F504" t="s">
        <v>35</v>
      </c>
      <c r="G504" t="s">
        <v>36</v>
      </c>
      <c r="H504" t="str">
        <f>INDEX(Table1[Diagnosis],MATCH(I504,'codeand diagnosis'!$A$2:$A$11,0))</f>
        <v>Dental examination</v>
      </c>
      <c r="I504" t="s">
        <v>45</v>
      </c>
      <c r="J504" t="str">
        <f>INDEX(Table1[ICD-10 Code],MATCH(Table2[[#This Row],[Treatment]],Table1[Treatment Type],0))</f>
        <v>Z01.2</v>
      </c>
      <c r="K504" t="s">
        <v>28</v>
      </c>
      <c r="L504" t="s">
        <v>28</v>
      </c>
      <c r="M504" t="s">
        <v>29</v>
      </c>
      <c r="N504">
        <f>Table2[[#This Row],[Total Paid]]+Table2[[#This Row],[Due]]</f>
        <v>200</v>
      </c>
      <c r="O504">
        <v>0</v>
      </c>
      <c r="P504">
        <v>0</v>
      </c>
      <c r="Q504">
        <v>200</v>
      </c>
      <c r="R504">
        <v>0</v>
      </c>
      <c r="S504">
        <v>0</v>
      </c>
      <c r="T504">
        <v>200</v>
      </c>
      <c r="U504">
        <v>0</v>
      </c>
      <c r="V504">
        <v>200</v>
      </c>
      <c r="W504" t="s">
        <v>47</v>
      </c>
      <c r="X504" s="6" t="s">
        <v>780</v>
      </c>
    </row>
    <row r="505" spans="1:24" hidden="1" x14ac:dyDescent="0.25">
      <c r="A505" t="s">
        <v>834</v>
      </c>
      <c r="B505" t="s">
        <v>431</v>
      </c>
      <c r="C505" t="s">
        <v>34</v>
      </c>
      <c r="D505">
        <v>36</v>
      </c>
      <c r="E505" t="s">
        <v>835</v>
      </c>
      <c r="F505" t="s">
        <v>50</v>
      </c>
      <c r="G505" t="s">
        <v>36</v>
      </c>
      <c r="H505" t="str">
        <f>INDEX(Table1[Diagnosis],MATCH(I505,'codeand diagnosis'!$A$2:$A$11,0))</f>
        <v>Dental examination</v>
      </c>
      <c r="I505" t="s">
        <v>45</v>
      </c>
      <c r="J505" t="str">
        <f>INDEX(Table1[ICD-10 Code],MATCH(Table2[[#This Row],[Treatment]],Table1[Treatment Type],0))</f>
        <v>Z01.2</v>
      </c>
      <c r="K505" t="s">
        <v>28</v>
      </c>
      <c r="L505" t="s">
        <v>28</v>
      </c>
      <c r="M505" t="s">
        <v>29</v>
      </c>
      <c r="N505">
        <f>Table2[[#This Row],[Total Paid]]+Table2[[#This Row],[Due]]</f>
        <v>200</v>
      </c>
      <c r="O505">
        <v>0</v>
      </c>
      <c r="P505">
        <v>0</v>
      </c>
      <c r="Q505">
        <v>200</v>
      </c>
      <c r="R505">
        <v>0</v>
      </c>
      <c r="S505">
        <v>0</v>
      </c>
      <c r="T505">
        <v>200</v>
      </c>
      <c r="U505">
        <v>0</v>
      </c>
      <c r="V505">
        <v>200</v>
      </c>
      <c r="W505" t="s">
        <v>51</v>
      </c>
      <c r="X505" s="6" t="s">
        <v>780</v>
      </c>
    </row>
    <row r="506" spans="1:24" hidden="1" x14ac:dyDescent="0.25">
      <c r="A506" t="s">
        <v>836</v>
      </c>
      <c r="B506" t="s">
        <v>182</v>
      </c>
      <c r="C506" t="s">
        <v>24</v>
      </c>
      <c r="D506">
        <v>39</v>
      </c>
      <c r="E506" t="s">
        <v>835</v>
      </c>
      <c r="F506" t="s">
        <v>50</v>
      </c>
      <c r="G506" t="s">
        <v>26</v>
      </c>
      <c r="H506" t="str">
        <f>INDEX(Table1[Diagnosis],MATCH(I506,'codeand diagnosis'!$A$2:$A$11,0))</f>
        <v>Dental examination</v>
      </c>
      <c r="I506" t="s">
        <v>45</v>
      </c>
      <c r="J506" t="str">
        <f>INDEX(Table1[ICD-10 Code],MATCH(Table2[[#This Row],[Treatment]],Table1[Treatment Type],0))</f>
        <v>Z01.2</v>
      </c>
      <c r="K506" t="s">
        <v>28</v>
      </c>
      <c r="L506" t="s">
        <v>28</v>
      </c>
      <c r="M506" t="s">
        <v>29</v>
      </c>
      <c r="N506">
        <f>Table2[[#This Row],[Total Paid]]+Table2[[#This Row],[Due]]</f>
        <v>200</v>
      </c>
      <c r="O506">
        <v>0</v>
      </c>
      <c r="P506">
        <v>0</v>
      </c>
      <c r="Q506">
        <v>200</v>
      </c>
      <c r="R506">
        <v>0</v>
      </c>
      <c r="S506">
        <v>0</v>
      </c>
      <c r="T506">
        <v>200</v>
      </c>
      <c r="U506">
        <v>0</v>
      </c>
      <c r="V506">
        <v>200</v>
      </c>
      <c r="W506" t="s">
        <v>47</v>
      </c>
      <c r="X506" s="6" t="s">
        <v>780</v>
      </c>
    </row>
    <row r="507" spans="1:24" hidden="1" x14ac:dyDescent="0.25">
      <c r="A507" t="s">
        <v>837</v>
      </c>
      <c r="B507" t="s">
        <v>340</v>
      </c>
      <c r="C507" t="s">
        <v>34</v>
      </c>
      <c r="D507">
        <v>39</v>
      </c>
      <c r="E507" t="s">
        <v>838</v>
      </c>
      <c r="F507" t="s">
        <v>50</v>
      </c>
      <c r="G507" t="s">
        <v>36</v>
      </c>
      <c r="H507" t="str">
        <f>INDEX(Table1[Diagnosis],MATCH(I507,'codeand diagnosis'!$A$2:$A$11,0))</f>
        <v>Dental examination</v>
      </c>
      <c r="I507" t="s">
        <v>45</v>
      </c>
      <c r="J507" t="str">
        <f>INDEX(Table1[ICD-10 Code],MATCH(Table2[[#This Row],[Treatment]],Table1[Treatment Type],0))</f>
        <v>Z01.2</v>
      </c>
      <c r="K507" t="s">
        <v>28</v>
      </c>
      <c r="L507" t="s">
        <v>28</v>
      </c>
      <c r="M507" t="s">
        <v>61</v>
      </c>
      <c r="N507">
        <f>Table2[[#This Row],[Total Paid]]+Table2[[#This Row],[Due]]</f>
        <v>200</v>
      </c>
      <c r="O507">
        <v>0</v>
      </c>
      <c r="P507">
        <v>0</v>
      </c>
      <c r="Q507">
        <v>200</v>
      </c>
      <c r="R507">
        <v>0</v>
      </c>
      <c r="S507">
        <v>0</v>
      </c>
      <c r="T507">
        <v>200</v>
      </c>
      <c r="U507">
        <v>0</v>
      </c>
      <c r="V507">
        <v>200</v>
      </c>
      <c r="W507" t="s">
        <v>42</v>
      </c>
      <c r="X507" s="6" t="s">
        <v>780</v>
      </c>
    </row>
    <row r="508" spans="1:24" hidden="1" x14ac:dyDescent="0.25">
      <c r="A508" t="s">
        <v>839</v>
      </c>
      <c r="B508" t="s">
        <v>201</v>
      </c>
      <c r="C508" t="s">
        <v>34</v>
      </c>
      <c r="D508">
        <v>64</v>
      </c>
      <c r="E508" t="s">
        <v>838</v>
      </c>
      <c r="F508" t="s">
        <v>50</v>
      </c>
      <c r="G508" t="s">
        <v>36</v>
      </c>
      <c r="H508" t="str">
        <f>INDEX(Table1[Diagnosis],MATCH(I508,'codeand diagnosis'!$A$2:$A$11,0))</f>
        <v>Loss of teeth</v>
      </c>
      <c r="I508" t="s">
        <v>68</v>
      </c>
      <c r="J508" t="str">
        <f>INDEX(Table1[ICD-10 Code],MATCH(Table2[[#This Row],[Treatment]],Table1[Treatment Type],0))</f>
        <v>K08.1</v>
      </c>
      <c r="K508" t="s">
        <v>28</v>
      </c>
      <c r="L508" t="s">
        <v>28</v>
      </c>
      <c r="M508" t="s">
        <v>29</v>
      </c>
      <c r="N508">
        <f>Table2[[#This Row],[Total Paid]]+Table2[[#This Row],[Due]]</f>
        <v>819</v>
      </c>
      <c r="O508">
        <v>819</v>
      </c>
      <c r="P508">
        <v>0</v>
      </c>
      <c r="Q508">
        <v>0</v>
      </c>
      <c r="R508">
        <v>0</v>
      </c>
      <c r="S508">
        <v>0</v>
      </c>
      <c r="T508">
        <v>819</v>
      </c>
      <c r="U508">
        <v>0</v>
      </c>
      <c r="V508">
        <v>819</v>
      </c>
      <c r="W508" t="s">
        <v>42</v>
      </c>
      <c r="X508" s="6" t="s">
        <v>780</v>
      </c>
    </row>
    <row r="509" spans="1:24" hidden="1" x14ac:dyDescent="0.25">
      <c r="A509" t="s">
        <v>840</v>
      </c>
      <c r="B509" t="s">
        <v>204</v>
      </c>
      <c r="C509" t="s">
        <v>34</v>
      </c>
      <c r="D509">
        <v>47</v>
      </c>
      <c r="E509" t="s">
        <v>838</v>
      </c>
      <c r="F509" t="s">
        <v>50</v>
      </c>
      <c r="G509" t="s">
        <v>26</v>
      </c>
      <c r="H509" t="str">
        <f>INDEX(Table1[Diagnosis],MATCH(I509,'codeand diagnosis'!$A$2:$A$11,0))</f>
        <v>Dental examination</v>
      </c>
      <c r="I509" t="s">
        <v>45</v>
      </c>
      <c r="J509" t="str">
        <f>INDEX(Table1[ICD-10 Code],MATCH(Table2[[#This Row],[Treatment]],Table1[Treatment Type],0))</f>
        <v>Z01.2</v>
      </c>
      <c r="K509" t="s">
        <v>28</v>
      </c>
      <c r="L509" t="s">
        <v>28</v>
      </c>
      <c r="M509" t="s">
        <v>29</v>
      </c>
      <c r="N509">
        <f>Table2[[#This Row],[Total Paid]]+Table2[[#This Row],[Due]]</f>
        <v>120</v>
      </c>
      <c r="O509">
        <v>0</v>
      </c>
      <c r="P509">
        <v>0</v>
      </c>
      <c r="Q509">
        <v>200</v>
      </c>
      <c r="R509">
        <v>0</v>
      </c>
      <c r="S509">
        <v>80</v>
      </c>
      <c r="T509">
        <v>120</v>
      </c>
      <c r="U509">
        <v>0</v>
      </c>
      <c r="V509">
        <v>120</v>
      </c>
      <c r="W509" t="s">
        <v>51</v>
      </c>
      <c r="X509" s="6" t="s">
        <v>780</v>
      </c>
    </row>
    <row r="510" spans="1:24" hidden="1" x14ac:dyDescent="0.25">
      <c r="A510" t="s">
        <v>841</v>
      </c>
      <c r="B510" t="s">
        <v>156</v>
      </c>
      <c r="C510" t="s">
        <v>24</v>
      </c>
      <c r="D510">
        <v>9</v>
      </c>
      <c r="E510" t="s">
        <v>842</v>
      </c>
      <c r="F510" t="s">
        <v>60</v>
      </c>
      <c r="G510" t="s">
        <v>26</v>
      </c>
      <c r="H510" t="str">
        <f>INDEX(Table1[Diagnosis],MATCH(I510,'codeand diagnosis'!$A$2:$A$11,0))</f>
        <v>Dental examination</v>
      </c>
      <c r="I510" t="s">
        <v>45</v>
      </c>
      <c r="J510" t="str">
        <f>INDEX(Table1[ICD-10 Code],MATCH(Table2[[#This Row],[Treatment]],Table1[Treatment Type],0))</f>
        <v>Z01.2</v>
      </c>
      <c r="K510" t="s">
        <v>28</v>
      </c>
      <c r="L510" t="s">
        <v>28</v>
      </c>
      <c r="M510" t="s">
        <v>61</v>
      </c>
      <c r="N510">
        <f>Table2[[#This Row],[Total Paid]]+Table2[[#This Row],[Due]]</f>
        <v>120</v>
      </c>
      <c r="O510">
        <v>0</v>
      </c>
      <c r="P510">
        <v>0</v>
      </c>
      <c r="Q510">
        <v>200</v>
      </c>
      <c r="R510">
        <v>0</v>
      </c>
      <c r="S510">
        <v>80</v>
      </c>
      <c r="T510">
        <v>120</v>
      </c>
      <c r="U510">
        <v>0</v>
      </c>
      <c r="V510">
        <v>120</v>
      </c>
      <c r="W510" t="s">
        <v>47</v>
      </c>
      <c r="X510" s="6" t="s">
        <v>780</v>
      </c>
    </row>
    <row r="511" spans="1:24" hidden="1" x14ac:dyDescent="0.25">
      <c r="A511" t="s">
        <v>843</v>
      </c>
      <c r="B511" t="s">
        <v>363</v>
      </c>
      <c r="C511" t="s">
        <v>34</v>
      </c>
      <c r="D511">
        <v>61</v>
      </c>
      <c r="E511" t="s">
        <v>842</v>
      </c>
      <c r="F511" t="s">
        <v>50</v>
      </c>
      <c r="G511" t="s">
        <v>26</v>
      </c>
      <c r="H511" t="str">
        <f>INDEX(Table1[Diagnosis],MATCH(I511,'codeand diagnosis'!$A$2:$A$11,0))</f>
        <v>Cosmetic procedure</v>
      </c>
      <c r="I511" t="s">
        <v>55</v>
      </c>
      <c r="J511" t="str">
        <f>INDEX(Table1[ICD-10 Code],MATCH(Table2[[#This Row],[Treatment]],Table1[Treatment Type],0))</f>
        <v>Z41.1</v>
      </c>
      <c r="K511" t="s">
        <v>28</v>
      </c>
      <c r="L511" t="s">
        <v>38</v>
      </c>
      <c r="M511" t="s">
        <v>61</v>
      </c>
      <c r="N511">
        <f>Table2[[#This Row],[Total Paid]]+Table2[[#This Row],[Due]]</f>
        <v>1586</v>
      </c>
      <c r="O511">
        <v>1586</v>
      </c>
      <c r="P511">
        <v>0</v>
      </c>
      <c r="Q511">
        <v>0</v>
      </c>
      <c r="R511">
        <v>0</v>
      </c>
      <c r="S511">
        <v>0</v>
      </c>
      <c r="T511">
        <v>1586</v>
      </c>
      <c r="U511">
        <v>0</v>
      </c>
      <c r="V511">
        <v>1586</v>
      </c>
      <c r="W511" t="s">
        <v>30</v>
      </c>
      <c r="X511" s="6" t="s">
        <v>780</v>
      </c>
    </row>
    <row r="512" spans="1:24" hidden="1" x14ac:dyDescent="0.25">
      <c r="A512" t="s">
        <v>844</v>
      </c>
      <c r="B512" t="s">
        <v>279</v>
      </c>
      <c r="C512" t="s">
        <v>34</v>
      </c>
      <c r="D512">
        <v>45</v>
      </c>
      <c r="E512" s="1">
        <v>45293</v>
      </c>
      <c r="F512" t="s">
        <v>88</v>
      </c>
      <c r="G512" t="s">
        <v>26</v>
      </c>
      <c r="H512" t="str">
        <f>INDEX(Table1[Diagnosis],MATCH(I512,'codeand diagnosis'!$A$2:$A$11,0))</f>
        <v>Dental examination</v>
      </c>
      <c r="I512" t="s">
        <v>45</v>
      </c>
      <c r="J512" t="str">
        <f>INDEX(Table1[ICD-10 Code],MATCH(Table2[[#This Row],[Treatment]],Table1[Treatment Type],0))</f>
        <v>Z01.2</v>
      </c>
      <c r="K512" t="s">
        <v>28</v>
      </c>
      <c r="L512" t="s">
        <v>28</v>
      </c>
      <c r="M512" t="s">
        <v>46</v>
      </c>
      <c r="N512">
        <f>Table2[[#This Row],[Total Paid]]+Table2[[#This Row],[Due]]</f>
        <v>200</v>
      </c>
      <c r="O512">
        <v>0</v>
      </c>
      <c r="P512">
        <v>0</v>
      </c>
      <c r="Q512">
        <v>200</v>
      </c>
      <c r="R512">
        <v>0</v>
      </c>
      <c r="S512">
        <v>0</v>
      </c>
      <c r="T512">
        <v>200</v>
      </c>
      <c r="U512">
        <v>0</v>
      </c>
      <c r="V512">
        <v>200</v>
      </c>
      <c r="W512" t="s">
        <v>42</v>
      </c>
      <c r="X512" s="6" t="s">
        <v>845</v>
      </c>
    </row>
    <row r="513" spans="1:24" hidden="1" x14ac:dyDescent="0.25">
      <c r="A513" t="s">
        <v>846</v>
      </c>
      <c r="B513" t="s">
        <v>131</v>
      </c>
      <c r="C513" t="s">
        <v>34</v>
      </c>
      <c r="D513">
        <v>53</v>
      </c>
      <c r="E513" s="1">
        <v>45293</v>
      </c>
      <c r="F513" t="s">
        <v>88</v>
      </c>
      <c r="G513" t="s">
        <v>26</v>
      </c>
      <c r="H513" t="str">
        <f>INDEX(Table1[Diagnosis],MATCH(I513,'codeand diagnosis'!$A$2:$A$11,0))</f>
        <v>Cosmetic procedure</v>
      </c>
      <c r="I513" t="s">
        <v>55</v>
      </c>
      <c r="J513" t="str">
        <f>INDEX(Table1[ICD-10 Code],MATCH(Table2[[#This Row],[Treatment]],Table1[Treatment Type],0))</f>
        <v>Z41.1</v>
      </c>
      <c r="K513" t="s">
        <v>28</v>
      </c>
      <c r="L513" t="s">
        <v>38</v>
      </c>
      <c r="M513" t="s">
        <v>29</v>
      </c>
      <c r="N513">
        <f>Table2[[#This Row],[Total Paid]]+Table2[[#This Row],[Due]]</f>
        <v>1292</v>
      </c>
      <c r="O513">
        <v>1292</v>
      </c>
      <c r="P513">
        <v>0</v>
      </c>
      <c r="Q513">
        <v>0</v>
      </c>
      <c r="R513">
        <v>0</v>
      </c>
      <c r="S513">
        <v>0</v>
      </c>
      <c r="T513">
        <v>1292</v>
      </c>
      <c r="U513">
        <v>0</v>
      </c>
      <c r="V513">
        <v>1292</v>
      </c>
      <c r="W513" t="s">
        <v>51</v>
      </c>
      <c r="X513" s="6" t="s">
        <v>845</v>
      </c>
    </row>
    <row r="514" spans="1:24" hidden="1" x14ac:dyDescent="0.25">
      <c r="A514" t="s">
        <v>847</v>
      </c>
      <c r="B514" t="s">
        <v>306</v>
      </c>
      <c r="C514" t="s">
        <v>24</v>
      </c>
      <c r="D514">
        <v>27</v>
      </c>
      <c r="E514" s="1">
        <v>45324</v>
      </c>
      <c r="F514" t="s">
        <v>50</v>
      </c>
      <c r="G514" t="s">
        <v>36</v>
      </c>
      <c r="H514" t="str">
        <f>INDEX(Table1[Diagnosis],MATCH(I514,'codeand diagnosis'!$A$2:$A$11,0))</f>
        <v>Dental examination</v>
      </c>
      <c r="I514" t="s">
        <v>45</v>
      </c>
      <c r="J514" t="str">
        <f>INDEX(Table1[ICD-10 Code],MATCH(Table2[[#This Row],[Treatment]],Table1[Treatment Type],0))</f>
        <v>Z01.2</v>
      </c>
      <c r="K514" t="s">
        <v>28</v>
      </c>
      <c r="L514" t="s">
        <v>28</v>
      </c>
      <c r="M514" t="s">
        <v>29</v>
      </c>
      <c r="N514">
        <f>Table2[[#This Row],[Total Paid]]+Table2[[#This Row],[Due]]</f>
        <v>150</v>
      </c>
      <c r="O514">
        <v>0</v>
      </c>
      <c r="P514">
        <v>0</v>
      </c>
      <c r="Q514">
        <v>200</v>
      </c>
      <c r="R514">
        <v>0</v>
      </c>
      <c r="S514">
        <v>50</v>
      </c>
      <c r="T514">
        <v>150</v>
      </c>
      <c r="U514">
        <v>0</v>
      </c>
      <c r="V514">
        <v>150</v>
      </c>
      <c r="W514" t="s">
        <v>51</v>
      </c>
      <c r="X514" s="6" t="s">
        <v>845</v>
      </c>
    </row>
    <row r="515" spans="1:24" hidden="1" x14ac:dyDescent="0.25">
      <c r="A515" t="s">
        <v>848</v>
      </c>
      <c r="B515" t="s">
        <v>188</v>
      </c>
      <c r="C515" t="s">
        <v>34</v>
      </c>
      <c r="D515">
        <v>10</v>
      </c>
      <c r="E515" s="1">
        <v>45324</v>
      </c>
      <c r="F515" t="s">
        <v>35</v>
      </c>
      <c r="G515" t="s">
        <v>26</v>
      </c>
      <c r="H515" t="str">
        <f>INDEX(Table1[Diagnosis],MATCH(I515,'codeand diagnosis'!$A$2:$A$11,0))</f>
        <v>Dental examination with radiology</v>
      </c>
      <c r="I515" t="s">
        <v>37</v>
      </c>
      <c r="J515" t="str">
        <f>INDEX(Table1[ICD-10 Code],MATCH(Table2[[#This Row],[Treatment]],Table1[Treatment Type],0))</f>
        <v>Z01.2</v>
      </c>
      <c r="K515" t="s">
        <v>28</v>
      </c>
      <c r="L515" t="s">
        <v>38</v>
      </c>
      <c r="M515" t="s">
        <v>61</v>
      </c>
      <c r="N515">
        <f>Table2[[#This Row],[Total Paid]]+Table2[[#This Row],[Due]]</f>
        <v>350</v>
      </c>
      <c r="O515">
        <v>0</v>
      </c>
      <c r="P515">
        <v>150</v>
      </c>
      <c r="Q515">
        <v>200</v>
      </c>
      <c r="R515">
        <v>0</v>
      </c>
      <c r="S515">
        <v>0</v>
      </c>
      <c r="T515">
        <v>350</v>
      </c>
      <c r="U515">
        <v>0</v>
      </c>
      <c r="V515">
        <v>350</v>
      </c>
      <c r="W515" t="s">
        <v>30</v>
      </c>
      <c r="X515" s="6" t="s">
        <v>845</v>
      </c>
    </row>
    <row r="516" spans="1:24" hidden="1" x14ac:dyDescent="0.25">
      <c r="A516" t="s">
        <v>849</v>
      </c>
      <c r="B516" t="s">
        <v>296</v>
      </c>
      <c r="C516" t="s">
        <v>24</v>
      </c>
      <c r="D516">
        <v>15</v>
      </c>
      <c r="E516" s="1">
        <v>45324</v>
      </c>
      <c r="F516" t="s">
        <v>35</v>
      </c>
      <c r="G516" t="s">
        <v>36</v>
      </c>
      <c r="H516" t="str">
        <f>INDEX(Table1[Diagnosis],MATCH(I516,'codeand diagnosis'!$A$2:$A$11,0))</f>
        <v>Dental caries</v>
      </c>
      <c r="I516" t="s">
        <v>41</v>
      </c>
      <c r="J516" t="str">
        <f>INDEX(Table1[ICD-10 Code],MATCH(Table2[[#This Row],[Treatment]],Table1[Treatment Type],0))</f>
        <v>K02.9</v>
      </c>
      <c r="K516" t="s">
        <v>28</v>
      </c>
      <c r="L516" t="s">
        <v>28</v>
      </c>
      <c r="M516" t="s">
        <v>29</v>
      </c>
      <c r="N516">
        <f>Table2[[#This Row],[Total Paid]]+Table2[[#This Row],[Due]]</f>
        <v>717</v>
      </c>
      <c r="O516">
        <v>717</v>
      </c>
      <c r="P516">
        <v>0</v>
      </c>
      <c r="Q516">
        <v>0</v>
      </c>
      <c r="R516">
        <v>0</v>
      </c>
      <c r="S516">
        <v>0</v>
      </c>
      <c r="T516">
        <v>717</v>
      </c>
      <c r="U516">
        <v>0</v>
      </c>
      <c r="V516">
        <v>717</v>
      </c>
      <c r="W516" t="s">
        <v>51</v>
      </c>
      <c r="X516" s="6" t="s">
        <v>845</v>
      </c>
    </row>
    <row r="517" spans="1:24" hidden="1" x14ac:dyDescent="0.25">
      <c r="A517" t="s">
        <v>850</v>
      </c>
      <c r="B517" t="s">
        <v>361</v>
      </c>
      <c r="C517" t="s">
        <v>34</v>
      </c>
      <c r="D517">
        <v>76</v>
      </c>
      <c r="E517" s="1">
        <v>45324</v>
      </c>
      <c r="F517" t="s">
        <v>88</v>
      </c>
      <c r="G517" t="s">
        <v>26</v>
      </c>
      <c r="H517" t="str">
        <f>INDEX(Table1[Diagnosis],MATCH(I517,'codeand diagnosis'!$A$2:$A$11,0))</f>
        <v>Dental examination</v>
      </c>
      <c r="I517" t="s">
        <v>45</v>
      </c>
      <c r="J517" t="str">
        <f>INDEX(Table1[ICD-10 Code],MATCH(Table2[[#This Row],[Treatment]],Table1[Treatment Type],0))</f>
        <v>Z01.2</v>
      </c>
      <c r="K517" t="s">
        <v>28</v>
      </c>
      <c r="L517" t="s">
        <v>28</v>
      </c>
      <c r="M517" t="s">
        <v>29</v>
      </c>
      <c r="N517">
        <f>Table2[[#This Row],[Total Paid]]+Table2[[#This Row],[Due]]</f>
        <v>200</v>
      </c>
      <c r="O517">
        <v>0</v>
      </c>
      <c r="P517">
        <v>0</v>
      </c>
      <c r="Q517">
        <v>200</v>
      </c>
      <c r="R517">
        <v>0</v>
      </c>
      <c r="S517">
        <v>0</v>
      </c>
      <c r="T517">
        <v>200</v>
      </c>
      <c r="U517">
        <v>0</v>
      </c>
      <c r="V517">
        <v>200</v>
      </c>
      <c r="W517" t="s">
        <v>30</v>
      </c>
      <c r="X517" s="6" t="s">
        <v>845</v>
      </c>
    </row>
    <row r="518" spans="1:24" hidden="1" x14ac:dyDescent="0.25">
      <c r="A518" t="s">
        <v>851</v>
      </c>
      <c r="B518" t="s">
        <v>361</v>
      </c>
      <c r="C518" t="s">
        <v>34</v>
      </c>
      <c r="D518">
        <v>44</v>
      </c>
      <c r="E518" s="1">
        <v>45353</v>
      </c>
      <c r="F518" t="s">
        <v>266</v>
      </c>
      <c r="G518" t="s">
        <v>36</v>
      </c>
      <c r="H518" t="str">
        <f>INDEX(Table1[Diagnosis],MATCH(I518,'codeand diagnosis'!$A$2:$A$11,0))</f>
        <v>Loss of teeth</v>
      </c>
      <c r="I518" t="s">
        <v>68</v>
      </c>
      <c r="J518" t="str">
        <f>INDEX(Table1[ICD-10 Code],MATCH(Table2[[#This Row],[Treatment]],Table1[Treatment Type],0))</f>
        <v>K08.1</v>
      </c>
      <c r="K518" t="s">
        <v>28</v>
      </c>
      <c r="L518" t="s">
        <v>38</v>
      </c>
      <c r="M518" t="s">
        <v>29</v>
      </c>
      <c r="N518">
        <f>Table2[[#This Row],[Total Paid]]+Table2[[#This Row],[Due]]</f>
        <v>526</v>
      </c>
      <c r="O518">
        <v>526</v>
      </c>
      <c r="P518">
        <v>0</v>
      </c>
      <c r="Q518">
        <v>0</v>
      </c>
      <c r="R518">
        <v>0</v>
      </c>
      <c r="S518">
        <v>0</v>
      </c>
      <c r="T518">
        <v>526</v>
      </c>
      <c r="U518">
        <v>0</v>
      </c>
      <c r="V518">
        <v>526</v>
      </c>
      <c r="W518" t="s">
        <v>42</v>
      </c>
      <c r="X518" s="6" t="s">
        <v>845</v>
      </c>
    </row>
    <row r="519" spans="1:24" hidden="1" x14ac:dyDescent="0.25">
      <c r="A519" t="s">
        <v>852</v>
      </c>
      <c r="B519" t="s">
        <v>186</v>
      </c>
      <c r="C519" t="s">
        <v>34</v>
      </c>
      <c r="D519">
        <v>58</v>
      </c>
      <c r="E519" s="1">
        <v>45353</v>
      </c>
      <c r="F519" t="s">
        <v>50</v>
      </c>
      <c r="G519" t="s">
        <v>36</v>
      </c>
      <c r="H519" t="str">
        <f>INDEX(Table1[Diagnosis],MATCH(I519,'codeand diagnosis'!$A$2:$A$11,0))</f>
        <v>Gingivitis</v>
      </c>
      <c r="I519" t="s">
        <v>27</v>
      </c>
      <c r="J519" t="str">
        <f>INDEX(Table1[ICD-10 Code],MATCH(Table2[[#This Row],[Treatment]],Table1[Treatment Type],0))</f>
        <v>K05.10</v>
      </c>
      <c r="K519" t="s">
        <v>28</v>
      </c>
      <c r="L519" t="s">
        <v>38</v>
      </c>
      <c r="M519" t="s">
        <v>29</v>
      </c>
      <c r="N519">
        <f>Table2[[#This Row],[Total Paid]]+Table2[[#This Row],[Due]]</f>
        <v>631</v>
      </c>
      <c r="O519">
        <v>631</v>
      </c>
      <c r="P519">
        <v>0</v>
      </c>
      <c r="Q519">
        <v>0</v>
      </c>
      <c r="R519">
        <v>0</v>
      </c>
      <c r="S519">
        <v>0</v>
      </c>
      <c r="T519">
        <v>631</v>
      </c>
      <c r="U519">
        <v>0</v>
      </c>
      <c r="V519">
        <v>631</v>
      </c>
      <c r="W519" t="s">
        <v>51</v>
      </c>
      <c r="X519" s="6" t="s">
        <v>845</v>
      </c>
    </row>
    <row r="520" spans="1:24" hidden="1" x14ac:dyDescent="0.25">
      <c r="A520" t="s">
        <v>853</v>
      </c>
      <c r="B520" t="s">
        <v>53</v>
      </c>
      <c r="C520" t="s">
        <v>34</v>
      </c>
      <c r="D520">
        <v>33</v>
      </c>
      <c r="E520" s="1">
        <v>45353</v>
      </c>
      <c r="F520" t="s">
        <v>50</v>
      </c>
      <c r="G520" t="s">
        <v>26</v>
      </c>
      <c r="H520" t="str">
        <f>INDEX(Table1[Diagnosis],MATCH(I520,'codeand diagnosis'!$A$2:$A$11,0))</f>
        <v>Dental examination with radiology</v>
      </c>
      <c r="I520" t="s">
        <v>37</v>
      </c>
      <c r="J520" t="str">
        <f>INDEX(Table1[ICD-10 Code],MATCH(Table2[[#This Row],[Treatment]],Table1[Treatment Type],0))</f>
        <v>Z01.2</v>
      </c>
      <c r="K520" t="s">
        <v>28</v>
      </c>
      <c r="L520" t="s">
        <v>38</v>
      </c>
      <c r="M520" t="s">
        <v>29</v>
      </c>
      <c r="N520">
        <f>Table2[[#This Row],[Total Paid]]+Table2[[#This Row],[Due]]</f>
        <v>210</v>
      </c>
      <c r="O520">
        <v>0</v>
      </c>
      <c r="P520">
        <v>150</v>
      </c>
      <c r="Q520">
        <v>200</v>
      </c>
      <c r="R520">
        <v>0</v>
      </c>
      <c r="S520">
        <v>140</v>
      </c>
      <c r="T520">
        <v>210</v>
      </c>
      <c r="U520">
        <v>0</v>
      </c>
      <c r="V520">
        <v>210</v>
      </c>
      <c r="W520" t="s">
        <v>51</v>
      </c>
      <c r="X520" s="6" t="s">
        <v>845</v>
      </c>
    </row>
    <row r="521" spans="1:24" hidden="1" x14ac:dyDescent="0.25">
      <c r="A521" t="s">
        <v>854</v>
      </c>
      <c r="B521" t="s">
        <v>361</v>
      </c>
      <c r="C521" t="s">
        <v>34</v>
      </c>
      <c r="D521">
        <v>56</v>
      </c>
      <c r="E521" s="1">
        <v>45414</v>
      </c>
      <c r="F521" t="s">
        <v>35</v>
      </c>
      <c r="G521" t="s">
        <v>26</v>
      </c>
      <c r="H521" t="str">
        <f>INDEX(Table1[Diagnosis],MATCH(I521,'codeand diagnosis'!$A$2:$A$11,0))</f>
        <v>Dental examination</v>
      </c>
      <c r="I521" t="s">
        <v>45</v>
      </c>
      <c r="J521" t="str">
        <f>INDEX(Table1[ICD-10 Code],MATCH(Table2[[#This Row],[Treatment]],Table1[Treatment Type],0))</f>
        <v>Z01.2</v>
      </c>
      <c r="K521" t="s">
        <v>28</v>
      </c>
      <c r="L521" t="s">
        <v>28</v>
      </c>
      <c r="M521" t="s">
        <v>46</v>
      </c>
      <c r="N521">
        <f>Table2[[#This Row],[Total Paid]]+Table2[[#This Row],[Due]]</f>
        <v>200</v>
      </c>
      <c r="O521">
        <v>0</v>
      </c>
      <c r="P521">
        <v>0</v>
      </c>
      <c r="Q521">
        <v>200</v>
      </c>
      <c r="R521">
        <v>0</v>
      </c>
      <c r="S521">
        <v>0</v>
      </c>
      <c r="T521">
        <v>200</v>
      </c>
      <c r="U521">
        <v>0</v>
      </c>
      <c r="V521">
        <v>200</v>
      </c>
      <c r="W521" t="s">
        <v>42</v>
      </c>
      <c r="X521" s="6" t="s">
        <v>845</v>
      </c>
    </row>
    <row r="522" spans="1:24" hidden="1" x14ac:dyDescent="0.25">
      <c r="A522" t="s">
        <v>855</v>
      </c>
      <c r="B522" t="s">
        <v>118</v>
      </c>
      <c r="C522" t="s">
        <v>24</v>
      </c>
      <c r="D522">
        <v>69</v>
      </c>
      <c r="E522" s="1">
        <v>45414</v>
      </c>
      <c r="F522" t="s">
        <v>132</v>
      </c>
      <c r="G522" t="s">
        <v>26</v>
      </c>
      <c r="H522" t="str">
        <f>INDEX(Table1[Diagnosis],MATCH(I522,'codeand diagnosis'!$A$2:$A$11,0))</f>
        <v>Cosmetic procedure</v>
      </c>
      <c r="I522" t="s">
        <v>55</v>
      </c>
      <c r="J522" t="str">
        <f>INDEX(Table1[ICD-10 Code],MATCH(Table2[[#This Row],[Treatment]],Table1[Treatment Type],0))</f>
        <v>Z41.1</v>
      </c>
      <c r="K522" t="s">
        <v>28</v>
      </c>
      <c r="L522" t="s">
        <v>38</v>
      </c>
      <c r="M522" t="s">
        <v>29</v>
      </c>
      <c r="N522">
        <f>Table2[[#This Row],[Total Paid]]+Table2[[#This Row],[Due]]</f>
        <v>1644</v>
      </c>
      <c r="O522">
        <v>1644</v>
      </c>
      <c r="P522">
        <v>0</v>
      </c>
      <c r="Q522">
        <v>0</v>
      </c>
      <c r="R522">
        <v>0</v>
      </c>
      <c r="S522">
        <v>0</v>
      </c>
      <c r="T522">
        <v>1644</v>
      </c>
      <c r="U522">
        <v>0</v>
      </c>
      <c r="V522">
        <v>1644</v>
      </c>
      <c r="W522" t="s">
        <v>42</v>
      </c>
      <c r="X522" s="6" t="s">
        <v>845</v>
      </c>
    </row>
    <row r="523" spans="1:24" hidden="1" x14ac:dyDescent="0.25">
      <c r="A523" t="s">
        <v>856</v>
      </c>
      <c r="B523" t="s">
        <v>237</v>
      </c>
      <c r="C523" t="s">
        <v>34</v>
      </c>
      <c r="D523">
        <v>70</v>
      </c>
      <c r="E523" s="1">
        <v>45445</v>
      </c>
      <c r="F523" t="s">
        <v>88</v>
      </c>
      <c r="G523" t="s">
        <v>36</v>
      </c>
      <c r="H523" t="str">
        <f>INDEX(Table1[Diagnosis],MATCH(I523,'codeand diagnosis'!$A$2:$A$11,0))</f>
        <v>Dental examination</v>
      </c>
      <c r="I523" t="s">
        <v>45</v>
      </c>
      <c r="J523" t="str">
        <f>INDEX(Table1[ICD-10 Code],MATCH(Table2[[#This Row],[Treatment]],Table1[Treatment Type],0))</f>
        <v>Z01.2</v>
      </c>
      <c r="K523" t="s">
        <v>28</v>
      </c>
      <c r="L523" t="s">
        <v>28</v>
      </c>
      <c r="M523" t="s">
        <v>46</v>
      </c>
      <c r="N523">
        <f>Table2[[#This Row],[Total Paid]]+Table2[[#This Row],[Due]]</f>
        <v>200</v>
      </c>
      <c r="O523">
        <v>0</v>
      </c>
      <c r="P523">
        <v>0</v>
      </c>
      <c r="Q523">
        <v>200</v>
      </c>
      <c r="R523">
        <v>0</v>
      </c>
      <c r="S523">
        <v>0</v>
      </c>
      <c r="T523">
        <v>200</v>
      </c>
      <c r="U523">
        <v>0</v>
      </c>
      <c r="V523">
        <v>200</v>
      </c>
      <c r="W523" t="s">
        <v>30</v>
      </c>
      <c r="X523" s="6" t="s">
        <v>845</v>
      </c>
    </row>
    <row r="524" spans="1:24" hidden="1" x14ac:dyDescent="0.25">
      <c r="A524" t="s">
        <v>857</v>
      </c>
      <c r="B524" t="s">
        <v>243</v>
      </c>
      <c r="C524" t="s">
        <v>24</v>
      </c>
      <c r="D524">
        <v>12</v>
      </c>
      <c r="E524" s="1">
        <v>45475</v>
      </c>
      <c r="F524" t="s">
        <v>92</v>
      </c>
      <c r="G524" t="s">
        <v>26</v>
      </c>
      <c r="H524" t="str">
        <f>INDEX(Table1[Diagnosis],MATCH(I524,'codeand diagnosis'!$A$2:$A$11,0))</f>
        <v>Dental examination with radiology</v>
      </c>
      <c r="I524" t="s">
        <v>37</v>
      </c>
      <c r="J524" t="str">
        <f>INDEX(Table1[ICD-10 Code],MATCH(Table2[[#This Row],[Treatment]],Table1[Treatment Type],0))</f>
        <v>Z01.2</v>
      </c>
      <c r="K524" t="s">
        <v>28</v>
      </c>
      <c r="L524" t="s">
        <v>38</v>
      </c>
      <c r="M524" t="s">
        <v>29</v>
      </c>
      <c r="N524">
        <f>Table2[[#This Row],[Total Paid]]+Table2[[#This Row],[Due]]</f>
        <v>350</v>
      </c>
      <c r="O524">
        <v>0</v>
      </c>
      <c r="P524">
        <v>150</v>
      </c>
      <c r="Q524">
        <v>200</v>
      </c>
      <c r="R524">
        <v>0</v>
      </c>
      <c r="S524">
        <v>0</v>
      </c>
      <c r="T524">
        <v>350</v>
      </c>
      <c r="U524">
        <v>0</v>
      </c>
      <c r="V524">
        <v>350</v>
      </c>
      <c r="W524" t="s">
        <v>42</v>
      </c>
      <c r="X524" s="6" t="s">
        <v>845</v>
      </c>
    </row>
    <row r="525" spans="1:24" hidden="1" x14ac:dyDescent="0.25">
      <c r="A525" t="s">
        <v>858</v>
      </c>
      <c r="B525" t="s">
        <v>531</v>
      </c>
      <c r="C525" t="s">
        <v>34</v>
      </c>
      <c r="D525">
        <v>20</v>
      </c>
      <c r="E525" s="1">
        <v>45506</v>
      </c>
      <c r="F525" t="s">
        <v>50</v>
      </c>
      <c r="G525" t="s">
        <v>36</v>
      </c>
      <c r="H525" t="str">
        <f>INDEX(Table1[Diagnosis],MATCH(I525,'codeand diagnosis'!$A$2:$A$11,0))</f>
        <v>Dental examination with radiology</v>
      </c>
      <c r="I525" t="s">
        <v>37</v>
      </c>
      <c r="J525" t="str">
        <f>INDEX(Table1[ICD-10 Code],MATCH(Table2[[#This Row],[Treatment]],Table1[Treatment Type],0))</f>
        <v>Z01.2</v>
      </c>
      <c r="K525" t="s">
        <v>28</v>
      </c>
      <c r="L525" t="s">
        <v>38</v>
      </c>
      <c r="M525" t="s">
        <v>29</v>
      </c>
      <c r="N525">
        <f>Table2[[#This Row],[Total Paid]]+Table2[[#This Row],[Due]]</f>
        <v>350</v>
      </c>
      <c r="O525">
        <v>0</v>
      </c>
      <c r="P525">
        <v>150</v>
      </c>
      <c r="Q525">
        <v>200</v>
      </c>
      <c r="R525">
        <v>0</v>
      </c>
      <c r="S525">
        <v>0</v>
      </c>
      <c r="T525">
        <v>350</v>
      </c>
      <c r="U525">
        <v>0</v>
      </c>
      <c r="V525">
        <v>350</v>
      </c>
      <c r="W525" t="s">
        <v>42</v>
      </c>
      <c r="X525" s="6" t="s">
        <v>845</v>
      </c>
    </row>
    <row r="526" spans="1:24" hidden="1" x14ac:dyDescent="0.25">
      <c r="A526" t="s">
        <v>859</v>
      </c>
      <c r="B526" t="s">
        <v>306</v>
      </c>
      <c r="C526" t="s">
        <v>24</v>
      </c>
      <c r="D526">
        <v>80</v>
      </c>
      <c r="E526" s="1">
        <v>45506</v>
      </c>
      <c r="F526" t="s">
        <v>50</v>
      </c>
      <c r="G526" t="s">
        <v>36</v>
      </c>
      <c r="H526" t="str">
        <f>INDEX(Table1[Diagnosis],MATCH(I526,'codeand diagnosis'!$A$2:$A$11,0))</f>
        <v>Dental examination with radiology</v>
      </c>
      <c r="I526" t="s">
        <v>37</v>
      </c>
      <c r="J526" t="str">
        <f>INDEX(Table1[ICD-10 Code],MATCH(Table2[[#This Row],[Treatment]],Table1[Treatment Type],0))</f>
        <v>Z01.2</v>
      </c>
      <c r="K526" t="s">
        <v>28</v>
      </c>
      <c r="L526" t="s">
        <v>38</v>
      </c>
      <c r="M526" t="s">
        <v>29</v>
      </c>
      <c r="N526">
        <f>Table2[[#This Row],[Total Paid]]+Table2[[#This Row],[Due]]</f>
        <v>350</v>
      </c>
      <c r="O526">
        <v>0</v>
      </c>
      <c r="P526">
        <v>150</v>
      </c>
      <c r="Q526">
        <v>200</v>
      </c>
      <c r="R526">
        <v>0</v>
      </c>
      <c r="S526">
        <v>0</v>
      </c>
      <c r="T526">
        <v>350</v>
      </c>
      <c r="U526">
        <v>0</v>
      </c>
      <c r="V526">
        <v>350</v>
      </c>
      <c r="W526" t="s">
        <v>47</v>
      </c>
      <c r="X526" s="6" t="s">
        <v>845</v>
      </c>
    </row>
    <row r="527" spans="1:24" hidden="1" x14ac:dyDescent="0.25">
      <c r="A527" t="s">
        <v>860</v>
      </c>
      <c r="B527" t="s">
        <v>141</v>
      </c>
      <c r="C527" t="s">
        <v>34</v>
      </c>
      <c r="D527">
        <v>38</v>
      </c>
      <c r="E527" s="1">
        <v>45506</v>
      </c>
      <c r="F527" t="s">
        <v>88</v>
      </c>
      <c r="G527" t="s">
        <v>26</v>
      </c>
      <c r="H527" t="str">
        <f>INDEX(Table1[Diagnosis],MATCH(I527,'codeand diagnosis'!$A$2:$A$11,0))</f>
        <v>Dental examination</v>
      </c>
      <c r="I527" t="s">
        <v>45</v>
      </c>
      <c r="J527" t="str">
        <f>INDEX(Table1[ICD-10 Code],MATCH(Table2[[#This Row],[Treatment]],Table1[Treatment Type],0))</f>
        <v>Z01.2</v>
      </c>
      <c r="K527" t="s">
        <v>28</v>
      </c>
      <c r="L527" t="s">
        <v>28</v>
      </c>
      <c r="M527" t="s">
        <v>29</v>
      </c>
      <c r="N527">
        <f>Table2[[#This Row],[Total Paid]]+Table2[[#This Row],[Due]]</f>
        <v>120</v>
      </c>
      <c r="O527">
        <v>0</v>
      </c>
      <c r="P527">
        <v>0</v>
      </c>
      <c r="Q527">
        <v>200</v>
      </c>
      <c r="R527">
        <v>0</v>
      </c>
      <c r="S527">
        <v>80</v>
      </c>
      <c r="T527">
        <v>120</v>
      </c>
      <c r="U527">
        <v>0</v>
      </c>
      <c r="V527">
        <v>120</v>
      </c>
      <c r="W527" t="s">
        <v>51</v>
      </c>
      <c r="X527" s="6" t="s">
        <v>845</v>
      </c>
    </row>
    <row r="528" spans="1:24" hidden="1" x14ac:dyDescent="0.25">
      <c r="A528" t="s">
        <v>861</v>
      </c>
      <c r="B528" t="s">
        <v>77</v>
      </c>
      <c r="C528" t="s">
        <v>34</v>
      </c>
      <c r="D528">
        <v>15</v>
      </c>
      <c r="E528" s="1">
        <v>45506</v>
      </c>
      <c r="F528" t="s">
        <v>50</v>
      </c>
      <c r="G528" t="s">
        <v>26</v>
      </c>
      <c r="H528" t="str">
        <f>INDEX(Table1[Diagnosis],MATCH(I528,'codeand diagnosis'!$A$2:$A$11,0))</f>
        <v>Dental examination with radiology</v>
      </c>
      <c r="I528" t="s">
        <v>37</v>
      </c>
      <c r="J528" t="str">
        <f>INDEX(Table1[ICD-10 Code],MATCH(Table2[[#This Row],[Treatment]],Table1[Treatment Type],0))</f>
        <v>Z01.2</v>
      </c>
      <c r="K528" t="s">
        <v>28</v>
      </c>
      <c r="L528" t="s">
        <v>38</v>
      </c>
      <c r="M528" t="s">
        <v>29</v>
      </c>
      <c r="N528">
        <f>Table2[[#This Row],[Total Paid]]+Table2[[#This Row],[Due]]</f>
        <v>210</v>
      </c>
      <c r="O528">
        <v>0</v>
      </c>
      <c r="P528">
        <v>150</v>
      </c>
      <c r="Q528">
        <v>200</v>
      </c>
      <c r="R528">
        <v>0</v>
      </c>
      <c r="S528">
        <v>140</v>
      </c>
      <c r="T528">
        <v>210</v>
      </c>
      <c r="U528">
        <v>0</v>
      </c>
      <c r="V528">
        <v>210</v>
      </c>
      <c r="W528" t="s">
        <v>42</v>
      </c>
      <c r="X528" s="6" t="s">
        <v>845</v>
      </c>
    </row>
    <row r="529" spans="1:24" hidden="1" x14ac:dyDescent="0.25">
      <c r="A529" t="s">
        <v>862</v>
      </c>
      <c r="B529" t="s">
        <v>70</v>
      </c>
      <c r="C529" t="s">
        <v>24</v>
      </c>
      <c r="D529">
        <v>56</v>
      </c>
      <c r="E529" s="1">
        <v>45537</v>
      </c>
      <c r="F529" t="s">
        <v>50</v>
      </c>
      <c r="G529" t="s">
        <v>36</v>
      </c>
      <c r="H529" t="str">
        <f>INDEX(Table1[Diagnosis],MATCH(I529,'codeand diagnosis'!$A$2:$A$11,0))</f>
        <v>Dental examination</v>
      </c>
      <c r="I529" t="s">
        <v>45</v>
      </c>
      <c r="J529" t="str">
        <f>INDEX(Table1[ICD-10 Code],MATCH(Table2[[#This Row],[Treatment]],Table1[Treatment Type],0))</f>
        <v>Z01.2</v>
      </c>
      <c r="K529" t="s">
        <v>28</v>
      </c>
      <c r="L529" t="s">
        <v>28</v>
      </c>
      <c r="M529" t="s">
        <v>29</v>
      </c>
      <c r="N529">
        <f>Table2[[#This Row],[Total Paid]]+Table2[[#This Row],[Due]]</f>
        <v>200</v>
      </c>
      <c r="O529">
        <v>0</v>
      </c>
      <c r="P529">
        <v>0</v>
      </c>
      <c r="Q529">
        <v>200</v>
      </c>
      <c r="R529">
        <v>0</v>
      </c>
      <c r="S529">
        <v>0</v>
      </c>
      <c r="T529">
        <v>200</v>
      </c>
      <c r="U529">
        <v>0</v>
      </c>
      <c r="V529">
        <v>200</v>
      </c>
      <c r="W529" t="s">
        <v>47</v>
      </c>
      <c r="X529" s="6" t="s">
        <v>845</v>
      </c>
    </row>
    <row r="530" spans="1:24" hidden="1" x14ac:dyDescent="0.25">
      <c r="A530" t="s">
        <v>863</v>
      </c>
      <c r="B530" t="s">
        <v>268</v>
      </c>
      <c r="C530" t="s">
        <v>34</v>
      </c>
      <c r="D530">
        <v>20</v>
      </c>
      <c r="E530" s="1">
        <v>45537</v>
      </c>
      <c r="F530" t="s">
        <v>50</v>
      </c>
      <c r="G530" t="s">
        <v>26</v>
      </c>
      <c r="H530" t="str">
        <f>INDEX(Table1[Diagnosis],MATCH(I530,'codeand diagnosis'!$A$2:$A$11,0))</f>
        <v>Dental examination</v>
      </c>
      <c r="I530" t="s">
        <v>45</v>
      </c>
      <c r="J530" t="str">
        <f>INDEX(Table1[ICD-10 Code],MATCH(Table2[[#This Row],[Treatment]],Table1[Treatment Type],0))</f>
        <v>Z01.2</v>
      </c>
      <c r="K530" t="s">
        <v>28</v>
      </c>
      <c r="L530" t="s">
        <v>28</v>
      </c>
      <c r="M530" t="s">
        <v>29</v>
      </c>
      <c r="N530">
        <f>Table2[[#This Row],[Total Paid]]+Table2[[#This Row],[Due]]</f>
        <v>120</v>
      </c>
      <c r="O530">
        <v>0</v>
      </c>
      <c r="P530">
        <v>0</v>
      </c>
      <c r="Q530">
        <v>200</v>
      </c>
      <c r="R530">
        <v>0</v>
      </c>
      <c r="S530">
        <v>80</v>
      </c>
      <c r="T530">
        <v>120</v>
      </c>
      <c r="U530">
        <v>0</v>
      </c>
      <c r="V530">
        <v>120</v>
      </c>
      <c r="W530" t="s">
        <v>51</v>
      </c>
      <c r="X530" s="6" t="s">
        <v>845</v>
      </c>
    </row>
    <row r="531" spans="1:24" hidden="1" x14ac:dyDescent="0.25">
      <c r="A531" t="s">
        <v>864</v>
      </c>
      <c r="B531" t="s">
        <v>414</v>
      </c>
      <c r="C531" t="s">
        <v>24</v>
      </c>
      <c r="D531">
        <v>73</v>
      </c>
      <c r="E531" s="1">
        <v>45567</v>
      </c>
      <c r="F531" t="s">
        <v>60</v>
      </c>
      <c r="G531" t="s">
        <v>26</v>
      </c>
      <c r="H531" t="str">
        <f>INDEX(Table1[Diagnosis],MATCH(I531,'codeand diagnosis'!$A$2:$A$11,0))</f>
        <v>Cosmetic procedure</v>
      </c>
      <c r="I531" t="s">
        <v>55</v>
      </c>
      <c r="J531" t="str">
        <f>INDEX(Table1[ICD-10 Code],MATCH(Table2[[#This Row],[Treatment]],Table1[Treatment Type],0))</f>
        <v>Z41.1</v>
      </c>
      <c r="K531" t="s">
        <v>28</v>
      </c>
      <c r="L531" t="s">
        <v>38</v>
      </c>
      <c r="M531" t="s">
        <v>46</v>
      </c>
      <c r="N531">
        <f>Table2[[#This Row],[Total Paid]]+Table2[[#This Row],[Due]]</f>
        <v>1236</v>
      </c>
      <c r="O531">
        <v>1236</v>
      </c>
      <c r="P531">
        <v>0</v>
      </c>
      <c r="Q531">
        <v>0</v>
      </c>
      <c r="R531">
        <v>0</v>
      </c>
      <c r="S531">
        <v>0</v>
      </c>
      <c r="T531">
        <v>1236</v>
      </c>
      <c r="U531">
        <v>0</v>
      </c>
      <c r="V531">
        <v>1236</v>
      </c>
      <c r="W531" t="s">
        <v>47</v>
      </c>
      <c r="X531" s="6" t="s">
        <v>845</v>
      </c>
    </row>
    <row r="532" spans="1:24" hidden="1" x14ac:dyDescent="0.25">
      <c r="A532" t="s">
        <v>865</v>
      </c>
      <c r="B532" t="s">
        <v>262</v>
      </c>
      <c r="C532" t="s">
        <v>34</v>
      </c>
      <c r="D532">
        <v>55</v>
      </c>
      <c r="E532" s="1">
        <v>45567</v>
      </c>
      <c r="F532" t="s">
        <v>50</v>
      </c>
      <c r="G532" t="s">
        <v>36</v>
      </c>
      <c r="H532" t="str">
        <f>INDEX(Table1[Diagnosis],MATCH(I532,'codeand diagnosis'!$A$2:$A$11,0))</f>
        <v>Dental examination with radiology</v>
      </c>
      <c r="I532" t="s">
        <v>37</v>
      </c>
      <c r="J532" t="str">
        <f>INDEX(Table1[ICD-10 Code],MATCH(Table2[[#This Row],[Treatment]],Table1[Treatment Type],0))</f>
        <v>Z01.2</v>
      </c>
      <c r="K532" t="s">
        <v>28</v>
      </c>
      <c r="L532" t="s">
        <v>38</v>
      </c>
      <c r="M532" t="s">
        <v>29</v>
      </c>
      <c r="N532">
        <f>Table2[[#This Row],[Total Paid]]+Table2[[#This Row],[Due]]</f>
        <v>210</v>
      </c>
      <c r="O532">
        <v>0</v>
      </c>
      <c r="P532">
        <v>150</v>
      </c>
      <c r="Q532">
        <v>200</v>
      </c>
      <c r="R532">
        <v>0</v>
      </c>
      <c r="S532">
        <v>140</v>
      </c>
      <c r="T532">
        <v>210</v>
      </c>
      <c r="U532">
        <v>0</v>
      </c>
      <c r="V532">
        <v>210</v>
      </c>
      <c r="W532" t="s">
        <v>47</v>
      </c>
      <c r="X532" s="6" t="s">
        <v>845</v>
      </c>
    </row>
    <row r="533" spans="1:24" hidden="1" x14ac:dyDescent="0.25">
      <c r="A533" t="s">
        <v>866</v>
      </c>
      <c r="B533" t="s">
        <v>141</v>
      </c>
      <c r="C533" t="s">
        <v>34</v>
      </c>
      <c r="D533">
        <v>70</v>
      </c>
      <c r="E533" s="1">
        <v>45598</v>
      </c>
      <c r="F533" t="s">
        <v>50</v>
      </c>
      <c r="G533" t="s">
        <v>26</v>
      </c>
      <c r="H533" t="str">
        <f>INDEX(Table1[Diagnosis],MATCH(I533,'codeand diagnosis'!$A$2:$A$11,0))</f>
        <v>Dental examination</v>
      </c>
      <c r="I533" t="s">
        <v>45</v>
      </c>
      <c r="J533" t="str">
        <f>INDEX(Table1[ICD-10 Code],MATCH(Table2[[#This Row],[Treatment]],Table1[Treatment Type],0))</f>
        <v>Z01.2</v>
      </c>
      <c r="K533" t="s">
        <v>28</v>
      </c>
      <c r="L533" t="s">
        <v>28</v>
      </c>
      <c r="M533" t="s">
        <v>29</v>
      </c>
      <c r="N533">
        <f>Table2[[#This Row],[Total Paid]]+Table2[[#This Row],[Due]]</f>
        <v>120</v>
      </c>
      <c r="O533">
        <v>0</v>
      </c>
      <c r="P533">
        <v>0</v>
      </c>
      <c r="Q533">
        <v>200</v>
      </c>
      <c r="R533">
        <v>0</v>
      </c>
      <c r="S533">
        <v>80</v>
      </c>
      <c r="T533">
        <v>120</v>
      </c>
      <c r="U533">
        <v>0</v>
      </c>
      <c r="V533">
        <v>120</v>
      </c>
      <c r="W533" t="s">
        <v>51</v>
      </c>
      <c r="X533" s="6" t="s">
        <v>845</v>
      </c>
    </row>
    <row r="534" spans="1:24" hidden="1" x14ac:dyDescent="0.25">
      <c r="A534" t="s">
        <v>867</v>
      </c>
      <c r="B534" t="s">
        <v>159</v>
      </c>
      <c r="C534" t="s">
        <v>24</v>
      </c>
      <c r="D534">
        <v>58</v>
      </c>
      <c r="E534" s="1">
        <v>45628</v>
      </c>
      <c r="F534" t="s">
        <v>50</v>
      </c>
      <c r="G534" t="s">
        <v>36</v>
      </c>
      <c r="H534" t="str">
        <f>INDEX(Table1[Diagnosis],MATCH(I534,'codeand diagnosis'!$A$2:$A$11,0))</f>
        <v>Dental examination with radiology</v>
      </c>
      <c r="I534" t="s">
        <v>37</v>
      </c>
      <c r="J534" t="str">
        <f>INDEX(Table1[ICD-10 Code],MATCH(Table2[[#This Row],[Treatment]],Table1[Treatment Type],0))</f>
        <v>Z01.2</v>
      </c>
      <c r="K534" t="s">
        <v>28</v>
      </c>
      <c r="L534" t="s">
        <v>38</v>
      </c>
      <c r="M534" t="s">
        <v>61</v>
      </c>
      <c r="N534">
        <f>Table2[[#This Row],[Total Paid]]+Table2[[#This Row],[Due]]</f>
        <v>350</v>
      </c>
      <c r="O534">
        <v>0</v>
      </c>
      <c r="P534">
        <v>150</v>
      </c>
      <c r="Q534">
        <v>200</v>
      </c>
      <c r="R534">
        <v>0</v>
      </c>
      <c r="S534">
        <v>0</v>
      </c>
      <c r="T534">
        <v>350</v>
      </c>
      <c r="U534">
        <v>0</v>
      </c>
      <c r="V534">
        <v>350</v>
      </c>
      <c r="W534" t="s">
        <v>51</v>
      </c>
      <c r="X534" s="6" t="s">
        <v>845</v>
      </c>
    </row>
    <row r="535" spans="1:24" hidden="1" x14ac:dyDescent="0.25">
      <c r="A535" t="s">
        <v>868</v>
      </c>
      <c r="B535" t="s">
        <v>144</v>
      </c>
      <c r="C535" t="s">
        <v>24</v>
      </c>
      <c r="D535">
        <v>9</v>
      </c>
      <c r="E535" s="1">
        <v>45628</v>
      </c>
      <c r="F535" t="s">
        <v>88</v>
      </c>
      <c r="G535" t="s">
        <v>26</v>
      </c>
      <c r="H535" t="str">
        <f>INDEX(Table1[Diagnosis],MATCH(I535,'codeand diagnosis'!$A$2:$A$11,0))</f>
        <v>Dental examination</v>
      </c>
      <c r="I535" t="s">
        <v>45</v>
      </c>
      <c r="J535" t="str">
        <f>INDEX(Table1[ICD-10 Code],MATCH(Table2[[#This Row],[Treatment]],Table1[Treatment Type],0))</f>
        <v>Z01.2</v>
      </c>
      <c r="K535" t="s">
        <v>28</v>
      </c>
      <c r="L535" t="s">
        <v>28</v>
      </c>
      <c r="M535" t="s">
        <v>29</v>
      </c>
      <c r="N535">
        <f>Table2[[#This Row],[Total Paid]]+Table2[[#This Row],[Due]]</f>
        <v>200</v>
      </c>
      <c r="O535">
        <v>0</v>
      </c>
      <c r="P535">
        <v>0</v>
      </c>
      <c r="Q535">
        <v>200</v>
      </c>
      <c r="R535">
        <v>0</v>
      </c>
      <c r="S535">
        <v>0</v>
      </c>
      <c r="T535">
        <v>200</v>
      </c>
      <c r="U535">
        <v>0</v>
      </c>
      <c r="V535">
        <v>200</v>
      </c>
      <c r="W535" t="s">
        <v>47</v>
      </c>
      <c r="X535" s="6" t="s">
        <v>845</v>
      </c>
    </row>
    <row r="536" spans="1:24" hidden="1" x14ac:dyDescent="0.25">
      <c r="A536" t="s">
        <v>869</v>
      </c>
      <c r="B536" t="s">
        <v>148</v>
      </c>
      <c r="C536" t="s">
        <v>24</v>
      </c>
      <c r="D536">
        <v>50</v>
      </c>
      <c r="E536" t="s">
        <v>870</v>
      </c>
      <c r="F536" t="s">
        <v>50</v>
      </c>
      <c r="G536" t="s">
        <v>36</v>
      </c>
      <c r="H536" t="str">
        <f>INDEX(Table1[Diagnosis],MATCH(I536,'codeand diagnosis'!$A$2:$A$11,0))</f>
        <v>Dental examination</v>
      </c>
      <c r="I536" t="s">
        <v>45</v>
      </c>
      <c r="J536" t="str">
        <f>INDEX(Table1[ICD-10 Code],MATCH(Table2[[#This Row],[Treatment]],Table1[Treatment Type],0))</f>
        <v>Z01.2</v>
      </c>
      <c r="K536" t="s">
        <v>28</v>
      </c>
      <c r="L536" t="s">
        <v>28</v>
      </c>
      <c r="M536" t="s">
        <v>46</v>
      </c>
      <c r="N536">
        <f>Table2[[#This Row],[Total Paid]]+Table2[[#This Row],[Due]]</f>
        <v>120</v>
      </c>
      <c r="O536">
        <v>0</v>
      </c>
      <c r="P536">
        <v>0</v>
      </c>
      <c r="Q536">
        <v>200</v>
      </c>
      <c r="R536">
        <v>0</v>
      </c>
      <c r="S536">
        <v>80</v>
      </c>
      <c r="T536">
        <v>120</v>
      </c>
      <c r="U536">
        <v>0</v>
      </c>
      <c r="V536">
        <v>120</v>
      </c>
      <c r="W536" t="s">
        <v>42</v>
      </c>
      <c r="X536" s="6" t="s">
        <v>845</v>
      </c>
    </row>
    <row r="537" spans="1:24" hidden="1" x14ac:dyDescent="0.25">
      <c r="A537" t="s">
        <v>871</v>
      </c>
      <c r="B537" t="s">
        <v>125</v>
      </c>
      <c r="C537" t="s">
        <v>34</v>
      </c>
      <c r="D537">
        <v>9</v>
      </c>
      <c r="E537" t="s">
        <v>870</v>
      </c>
      <c r="F537" t="s">
        <v>88</v>
      </c>
      <c r="G537" t="s">
        <v>36</v>
      </c>
      <c r="H537" t="str">
        <f>INDEX(Table1[Diagnosis],MATCH(I537,'codeand diagnosis'!$A$2:$A$11,0))</f>
        <v>Dental examination</v>
      </c>
      <c r="I537" t="s">
        <v>45</v>
      </c>
      <c r="J537" t="str">
        <f>INDEX(Table1[ICD-10 Code],MATCH(Table2[[#This Row],[Treatment]],Table1[Treatment Type],0))</f>
        <v>Z01.2</v>
      </c>
      <c r="K537" t="s">
        <v>28</v>
      </c>
      <c r="L537" t="s">
        <v>28</v>
      </c>
      <c r="M537" t="s">
        <v>29</v>
      </c>
      <c r="N537">
        <f>Table2[[#This Row],[Total Paid]]+Table2[[#This Row],[Due]]</f>
        <v>120</v>
      </c>
      <c r="O537">
        <v>0</v>
      </c>
      <c r="P537">
        <v>0</v>
      </c>
      <c r="Q537">
        <v>200</v>
      </c>
      <c r="R537">
        <v>0</v>
      </c>
      <c r="S537">
        <v>80</v>
      </c>
      <c r="T537">
        <v>120</v>
      </c>
      <c r="U537">
        <v>0</v>
      </c>
      <c r="V537">
        <v>120</v>
      </c>
      <c r="W537" t="s">
        <v>47</v>
      </c>
      <c r="X537" s="6" t="s">
        <v>845</v>
      </c>
    </row>
    <row r="538" spans="1:24" hidden="1" x14ac:dyDescent="0.25">
      <c r="A538" t="s">
        <v>872</v>
      </c>
      <c r="B538" t="s">
        <v>177</v>
      </c>
      <c r="C538" t="s">
        <v>34</v>
      </c>
      <c r="D538">
        <v>35</v>
      </c>
      <c r="E538" t="s">
        <v>870</v>
      </c>
      <c r="F538" t="s">
        <v>35</v>
      </c>
      <c r="G538" t="s">
        <v>26</v>
      </c>
      <c r="H538" t="str">
        <f>INDEX(Table1[Diagnosis],MATCH(I538,'codeand diagnosis'!$A$2:$A$11,0))</f>
        <v>Dental examination</v>
      </c>
      <c r="I538" t="s">
        <v>45</v>
      </c>
      <c r="J538" t="str">
        <f>INDEX(Table1[ICD-10 Code],MATCH(Table2[[#This Row],[Treatment]],Table1[Treatment Type],0))</f>
        <v>Z01.2</v>
      </c>
      <c r="K538" t="s">
        <v>28</v>
      </c>
      <c r="L538" t="s">
        <v>28</v>
      </c>
      <c r="M538" t="s">
        <v>46</v>
      </c>
      <c r="N538">
        <f>Table2[[#This Row],[Total Paid]]+Table2[[#This Row],[Due]]</f>
        <v>120</v>
      </c>
      <c r="O538">
        <v>0</v>
      </c>
      <c r="P538">
        <v>0</v>
      </c>
      <c r="Q538">
        <v>200</v>
      </c>
      <c r="R538">
        <v>0</v>
      </c>
      <c r="S538">
        <v>80</v>
      </c>
      <c r="T538">
        <v>120</v>
      </c>
      <c r="U538">
        <v>0</v>
      </c>
      <c r="V538">
        <v>120</v>
      </c>
      <c r="W538" t="s">
        <v>42</v>
      </c>
      <c r="X538" s="6" t="s">
        <v>845</v>
      </c>
    </row>
    <row r="539" spans="1:24" hidden="1" x14ac:dyDescent="0.25">
      <c r="A539" t="s">
        <v>873</v>
      </c>
      <c r="B539" t="s">
        <v>284</v>
      </c>
      <c r="C539" t="s">
        <v>34</v>
      </c>
      <c r="D539">
        <v>57</v>
      </c>
      <c r="E539" t="s">
        <v>874</v>
      </c>
      <c r="F539" t="s">
        <v>50</v>
      </c>
      <c r="G539" t="s">
        <v>26</v>
      </c>
      <c r="H539" t="str">
        <f>INDEX(Table1[Diagnosis],MATCH(I539,'codeand diagnosis'!$A$2:$A$11,0))</f>
        <v>Dental examination</v>
      </c>
      <c r="I539" t="s">
        <v>45</v>
      </c>
      <c r="J539" t="str">
        <f>INDEX(Table1[ICD-10 Code],MATCH(Table2[[#This Row],[Treatment]],Table1[Treatment Type],0))</f>
        <v>Z01.2</v>
      </c>
      <c r="K539" t="s">
        <v>28</v>
      </c>
      <c r="L539" t="s">
        <v>28</v>
      </c>
      <c r="M539" t="s">
        <v>46</v>
      </c>
      <c r="N539">
        <f>Table2[[#This Row],[Total Paid]]+Table2[[#This Row],[Due]]</f>
        <v>200</v>
      </c>
      <c r="O539">
        <v>0</v>
      </c>
      <c r="P539">
        <v>0</v>
      </c>
      <c r="Q539">
        <v>200</v>
      </c>
      <c r="R539">
        <v>0</v>
      </c>
      <c r="S539">
        <v>0</v>
      </c>
      <c r="T539">
        <v>200</v>
      </c>
      <c r="U539">
        <v>0</v>
      </c>
      <c r="V539">
        <v>200</v>
      </c>
      <c r="W539" t="s">
        <v>47</v>
      </c>
      <c r="X539" s="6" t="s">
        <v>845</v>
      </c>
    </row>
    <row r="540" spans="1:24" hidden="1" x14ac:dyDescent="0.25">
      <c r="A540" t="s">
        <v>875</v>
      </c>
      <c r="B540" t="s">
        <v>63</v>
      </c>
      <c r="C540" t="s">
        <v>24</v>
      </c>
      <c r="D540">
        <v>18</v>
      </c>
      <c r="E540" t="s">
        <v>876</v>
      </c>
      <c r="F540" t="s">
        <v>104</v>
      </c>
      <c r="G540" t="s">
        <v>26</v>
      </c>
      <c r="H540" t="str">
        <f>INDEX(Table1[Diagnosis],MATCH(I540,'codeand diagnosis'!$A$2:$A$11,0))</f>
        <v>Dental examination</v>
      </c>
      <c r="I540" t="s">
        <v>45</v>
      </c>
      <c r="J540" t="str">
        <f>INDEX(Table1[ICD-10 Code],MATCH(Table2[[#This Row],[Treatment]],Table1[Treatment Type],0))</f>
        <v>Z01.2</v>
      </c>
      <c r="K540" t="s">
        <v>28</v>
      </c>
      <c r="L540" t="s">
        <v>28</v>
      </c>
      <c r="M540" t="s">
        <v>29</v>
      </c>
      <c r="N540">
        <f>Table2[[#This Row],[Total Paid]]+Table2[[#This Row],[Due]]</f>
        <v>200</v>
      </c>
      <c r="O540">
        <v>0</v>
      </c>
      <c r="P540">
        <v>0</v>
      </c>
      <c r="Q540">
        <v>200</v>
      </c>
      <c r="R540">
        <v>0</v>
      </c>
      <c r="S540">
        <v>0</v>
      </c>
      <c r="T540">
        <v>200</v>
      </c>
      <c r="U540">
        <v>0</v>
      </c>
      <c r="V540">
        <v>200</v>
      </c>
      <c r="W540" t="s">
        <v>47</v>
      </c>
      <c r="X540" s="6" t="s">
        <v>845</v>
      </c>
    </row>
    <row r="541" spans="1:24" hidden="1" x14ac:dyDescent="0.25">
      <c r="A541" t="s">
        <v>877</v>
      </c>
      <c r="B541" t="s">
        <v>59</v>
      </c>
      <c r="C541" t="s">
        <v>34</v>
      </c>
      <c r="D541">
        <v>39</v>
      </c>
      <c r="E541" t="s">
        <v>878</v>
      </c>
      <c r="F541" t="s">
        <v>359</v>
      </c>
      <c r="G541" t="s">
        <v>26</v>
      </c>
      <c r="H541" t="str">
        <f>INDEX(Table1[Diagnosis],MATCH(I541,'codeand diagnosis'!$A$2:$A$11,0))</f>
        <v>Dental examination</v>
      </c>
      <c r="I541" t="s">
        <v>45</v>
      </c>
      <c r="J541" t="str">
        <f>INDEX(Table1[ICD-10 Code],MATCH(Table2[[#This Row],[Treatment]],Table1[Treatment Type],0))</f>
        <v>Z01.2</v>
      </c>
      <c r="K541" t="s">
        <v>28</v>
      </c>
      <c r="L541" t="s">
        <v>28</v>
      </c>
      <c r="M541" t="s">
        <v>29</v>
      </c>
      <c r="N541">
        <f>Table2[[#This Row],[Total Paid]]+Table2[[#This Row],[Due]]</f>
        <v>200</v>
      </c>
      <c r="O541">
        <v>0</v>
      </c>
      <c r="P541">
        <v>0</v>
      </c>
      <c r="Q541">
        <v>200</v>
      </c>
      <c r="R541">
        <v>0</v>
      </c>
      <c r="S541">
        <v>0</v>
      </c>
      <c r="T541">
        <v>200</v>
      </c>
      <c r="U541">
        <v>0</v>
      </c>
      <c r="V541">
        <v>200</v>
      </c>
      <c r="W541" t="s">
        <v>42</v>
      </c>
      <c r="X541" s="6" t="s">
        <v>845</v>
      </c>
    </row>
    <row r="542" spans="1:24" hidden="1" x14ac:dyDescent="0.25">
      <c r="A542" t="s">
        <v>879</v>
      </c>
      <c r="B542" t="s">
        <v>141</v>
      </c>
      <c r="C542" t="s">
        <v>34</v>
      </c>
      <c r="D542">
        <v>9</v>
      </c>
      <c r="E542" t="s">
        <v>880</v>
      </c>
      <c r="F542" t="s">
        <v>50</v>
      </c>
      <c r="G542" t="s">
        <v>26</v>
      </c>
      <c r="H542" t="str">
        <f>INDEX(Table1[Diagnosis],MATCH(I542,'codeand diagnosis'!$A$2:$A$11,0))</f>
        <v>Gingivitis</v>
      </c>
      <c r="I542" t="s">
        <v>27</v>
      </c>
      <c r="J542" t="str">
        <f>INDEX(Table1[ICD-10 Code],MATCH(Table2[[#This Row],[Treatment]],Table1[Treatment Type],0))</f>
        <v>K05.10</v>
      </c>
      <c r="K542" t="s">
        <v>28</v>
      </c>
      <c r="L542" t="s">
        <v>38</v>
      </c>
      <c r="M542" t="s">
        <v>29</v>
      </c>
      <c r="N542">
        <f>Table2[[#This Row],[Total Paid]]+Table2[[#This Row],[Due]]</f>
        <v>411</v>
      </c>
      <c r="O542">
        <v>411</v>
      </c>
      <c r="P542">
        <v>0</v>
      </c>
      <c r="Q542">
        <v>0</v>
      </c>
      <c r="R542">
        <v>0</v>
      </c>
      <c r="S542">
        <v>0</v>
      </c>
      <c r="T542">
        <v>411</v>
      </c>
      <c r="U542">
        <v>0</v>
      </c>
      <c r="V542">
        <v>411</v>
      </c>
      <c r="W542" t="s">
        <v>47</v>
      </c>
      <c r="X542" s="6" t="s">
        <v>845</v>
      </c>
    </row>
    <row r="543" spans="1:24" hidden="1" x14ac:dyDescent="0.25">
      <c r="A543" t="s">
        <v>881</v>
      </c>
      <c r="B543" t="s">
        <v>80</v>
      </c>
      <c r="C543" t="s">
        <v>34</v>
      </c>
      <c r="D543">
        <v>14</v>
      </c>
      <c r="E543" t="s">
        <v>880</v>
      </c>
      <c r="F543" t="s">
        <v>50</v>
      </c>
      <c r="G543" t="s">
        <v>26</v>
      </c>
      <c r="H543" t="str">
        <f>INDEX(Table1[Diagnosis],MATCH(I543,'codeand diagnosis'!$A$2:$A$11,0))</f>
        <v>Cosmetic procedure</v>
      </c>
      <c r="I543" t="s">
        <v>55</v>
      </c>
      <c r="J543" t="str">
        <f>INDEX(Table1[ICD-10 Code],MATCH(Table2[[#This Row],[Treatment]],Table1[Treatment Type],0))</f>
        <v>Z41.1</v>
      </c>
      <c r="K543" t="s">
        <v>28</v>
      </c>
      <c r="L543" t="s">
        <v>38</v>
      </c>
      <c r="M543" t="s">
        <v>29</v>
      </c>
      <c r="N543">
        <f>Table2[[#This Row],[Total Paid]]+Table2[[#This Row],[Due]]</f>
        <v>1151</v>
      </c>
      <c r="O543">
        <v>1451</v>
      </c>
      <c r="P543">
        <v>0</v>
      </c>
      <c r="Q543">
        <v>0</v>
      </c>
      <c r="R543">
        <v>0</v>
      </c>
      <c r="S543">
        <v>300</v>
      </c>
      <c r="T543">
        <v>1151</v>
      </c>
      <c r="U543">
        <v>0</v>
      </c>
      <c r="V543">
        <v>1151</v>
      </c>
      <c r="W543" t="s">
        <v>30</v>
      </c>
      <c r="X543" s="6" t="s">
        <v>845</v>
      </c>
    </row>
    <row r="544" spans="1:24" hidden="1" x14ac:dyDescent="0.25">
      <c r="A544" t="s">
        <v>882</v>
      </c>
      <c r="B544" t="s">
        <v>363</v>
      </c>
      <c r="C544" t="s">
        <v>34</v>
      </c>
      <c r="D544">
        <v>52</v>
      </c>
      <c r="E544" t="s">
        <v>883</v>
      </c>
      <c r="F544" t="s">
        <v>35</v>
      </c>
      <c r="G544" t="s">
        <v>36</v>
      </c>
      <c r="H544" t="str">
        <f>INDEX(Table1[Diagnosis],MATCH(I544,'codeand diagnosis'!$A$2:$A$11,0))</f>
        <v>Dental examination with radiology</v>
      </c>
      <c r="I544" t="s">
        <v>37</v>
      </c>
      <c r="J544" t="str">
        <f>INDEX(Table1[ICD-10 Code],MATCH(Table2[[#This Row],[Treatment]],Table1[Treatment Type],0))</f>
        <v>Z01.2</v>
      </c>
      <c r="K544" t="s">
        <v>28</v>
      </c>
      <c r="L544" t="s">
        <v>38</v>
      </c>
      <c r="M544" t="s">
        <v>29</v>
      </c>
      <c r="N544">
        <f>Table2[[#This Row],[Total Paid]]+Table2[[#This Row],[Due]]</f>
        <v>350</v>
      </c>
      <c r="O544">
        <v>0</v>
      </c>
      <c r="P544">
        <v>150</v>
      </c>
      <c r="Q544">
        <v>200</v>
      </c>
      <c r="R544">
        <v>0</v>
      </c>
      <c r="S544">
        <v>0</v>
      </c>
      <c r="T544">
        <v>350</v>
      </c>
      <c r="U544">
        <v>0</v>
      </c>
      <c r="V544">
        <v>350</v>
      </c>
      <c r="W544" t="s">
        <v>51</v>
      </c>
      <c r="X544" s="6" t="s">
        <v>845</v>
      </c>
    </row>
    <row r="545" spans="1:24" hidden="1" x14ac:dyDescent="0.25">
      <c r="A545" t="s">
        <v>884</v>
      </c>
      <c r="B545" t="s">
        <v>414</v>
      </c>
      <c r="C545" t="s">
        <v>24</v>
      </c>
      <c r="D545">
        <v>77</v>
      </c>
      <c r="E545" t="s">
        <v>883</v>
      </c>
      <c r="F545" t="s">
        <v>25</v>
      </c>
      <c r="G545" t="s">
        <v>26</v>
      </c>
      <c r="H545" t="str">
        <f>INDEX(Table1[Diagnosis],MATCH(I545,'codeand diagnosis'!$A$2:$A$11,0))</f>
        <v>Dental examination with radiology</v>
      </c>
      <c r="I545" t="s">
        <v>37</v>
      </c>
      <c r="J545" t="str">
        <f>INDEX(Table1[ICD-10 Code],MATCH(Table2[[#This Row],[Treatment]],Table1[Treatment Type],0))</f>
        <v>Z01.2</v>
      </c>
      <c r="K545" t="s">
        <v>28</v>
      </c>
      <c r="L545" t="s">
        <v>38</v>
      </c>
      <c r="M545" t="s">
        <v>29</v>
      </c>
      <c r="N545">
        <f>Table2[[#This Row],[Total Paid]]+Table2[[#This Row],[Due]]</f>
        <v>210</v>
      </c>
      <c r="O545">
        <v>0</v>
      </c>
      <c r="P545">
        <v>150</v>
      </c>
      <c r="Q545">
        <v>200</v>
      </c>
      <c r="R545">
        <v>0</v>
      </c>
      <c r="S545">
        <v>140</v>
      </c>
      <c r="T545">
        <v>210</v>
      </c>
      <c r="U545">
        <v>0</v>
      </c>
      <c r="V545">
        <v>210</v>
      </c>
      <c r="W545" t="s">
        <v>42</v>
      </c>
      <c r="X545" s="6" t="s">
        <v>845</v>
      </c>
    </row>
    <row r="546" spans="1:24" hidden="1" x14ac:dyDescent="0.25">
      <c r="A546" t="s">
        <v>885</v>
      </c>
      <c r="B546" t="s">
        <v>194</v>
      </c>
      <c r="C546" t="s">
        <v>34</v>
      </c>
      <c r="D546">
        <v>11</v>
      </c>
      <c r="E546" t="s">
        <v>886</v>
      </c>
      <c r="F546" t="s">
        <v>132</v>
      </c>
      <c r="G546" t="s">
        <v>26</v>
      </c>
      <c r="H546" t="str">
        <f>INDEX(Table1[Diagnosis],MATCH(I546,'codeand diagnosis'!$A$2:$A$11,0))</f>
        <v>Malocclusion</v>
      </c>
      <c r="I546" t="s">
        <v>89</v>
      </c>
      <c r="J546" t="str">
        <f>INDEX(Table1[ICD-10 Code],MATCH(Table2[[#This Row],[Treatment]],Table1[Treatment Type],0))</f>
        <v>K07.4</v>
      </c>
      <c r="K546" t="s">
        <v>28</v>
      </c>
      <c r="L546" t="s">
        <v>38</v>
      </c>
      <c r="M546" t="s">
        <v>29</v>
      </c>
      <c r="N546">
        <f>Table2[[#This Row],[Total Paid]]+Table2[[#This Row],[Due]]</f>
        <v>14395</v>
      </c>
      <c r="O546">
        <v>14395</v>
      </c>
      <c r="P546">
        <v>0</v>
      </c>
      <c r="Q546">
        <v>0</v>
      </c>
      <c r="R546">
        <v>4020</v>
      </c>
      <c r="S546">
        <v>0</v>
      </c>
      <c r="T546">
        <v>14395</v>
      </c>
      <c r="U546">
        <v>0</v>
      </c>
      <c r="V546">
        <v>10375</v>
      </c>
      <c r="W546" t="s">
        <v>51</v>
      </c>
      <c r="X546" s="6" t="s">
        <v>845</v>
      </c>
    </row>
    <row r="547" spans="1:24" hidden="1" x14ac:dyDescent="0.25">
      <c r="A547" t="s">
        <v>887</v>
      </c>
      <c r="B547" t="s">
        <v>171</v>
      </c>
      <c r="C547" t="s">
        <v>24</v>
      </c>
      <c r="D547">
        <v>23</v>
      </c>
      <c r="E547" t="s">
        <v>888</v>
      </c>
      <c r="F547" t="s">
        <v>25</v>
      </c>
      <c r="G547" t="s">
        <v>26</v>
      </c>
      <c r="H547" t="str">
        <f>INDEX(Table1[Diagnosis],MATCH(I547,'codeand diagnosis'!$A$2:$A$11,0))</f>
        <v>Dental examination</v>
      </c>
      <c r="I547" t="s">
        <v>45</v>
      </c>
      <c r="J547" t="str">
        <f>INDEX(Table1[ICD-10 Code],MATCH(Table2[[#This Row],[Treatment]],Table1[Treatment Type],0))</f>
        <v>Z01.2</v>
      </c>
      <c r="K547" t="s">
        <v>28</v>
      </c>
      <c r="L547" t="s">
        <v>28</v>
      </c>
      <c r="M547" t="s">
        <v>29</v>
      </c>
      <c r="N547">
        <f>Table2[[#This Row],[Total Paid]]+Table2[[#This Row],[Due]]</f>
        <v>120</v>
      </c>
      <c r="O547">
        <v>0</v>
      </c>
      <c r="P547">
        <v>0</v>
      </c>
      <c r="Q547">
        <v>200</v>
      </c>
      <c r="R547">
        <v>0</v>
      </c>
      <c r="S547">
        <v>80</v>
      </c>
      <c r="T547">
        <v>120</v>
      </c>
      <c r="U547">
        <v>0</v>
      </c>
      <c r="V547">
        <v>120</v>
      </c>
      <c r="W547" t="s">
        <v>42</v>
      </c>
      <c r="X547" s="6" t="s">
        <v>845</v>
      </c>
    </row>
    <row r="548" spans="1:24" hidden="1" x14ac:dyDescent="0.25">
      <c r="A548" t="s">
        <v>889</v>
      </c>
      <c r="B548" t="s">
        <v>275</v>
      </c>
      <c r="C548" t="s">
        <v>34</v>
      </c>
      <c r="D548">
        <v>72</v>
      </c>
      <c r="E548" t="s">
        <v>890</v>
      </c>
      <c r="F548" t="s">
        <v>88</v>
      </c>
      <c r="G548" t="s">
        <v>36</v>
      </c>
      <c r="H548" t="str">
        <f>INDEX(Table1[Diagnosis],MATCH(I548,'codeand diagnosis'!$A$2:$A$11,0))</f>
        <v>Dental examination with radiology</v>
      </c>
      <c r="I548" t="s">
        <v>37</v>
      </c>
      <c r="J548" t="str">
        <f>INDEX(Table1[ICD-10 Code],MATCH(Table2[[#This Row],[Treatment]],Table1[Treatment Type],0))</f>
        <v>Z01.2</v>
      </c>
      <c r="K548" t="s">
        <v>28</v>
      </c>
      <c r="L548" t="s">
        <v>38</v>
      </c>
      <c r="M548" t="s">
        <v>46</v>
      </c>
      <c r="N548">
        <f>Table2[[#This Row],[Total Paid]]+Table2[[#This Row],[Due]]</f>
        <v>350</v>
      </c>
      <c r="O548">
        <v>0</v>
      </c>
      <c r="P548">
        <v>150</v>
      </c>
      <c r="Q548">
        <v>200</v>
      </c>
      <c r="R548">
        <v>0</v>
      </c>
      <c r="S548">
        <v>0</v>
      </c>
      <c r="T548">
        <v>350</v>
      </c>
      <c r="U548">
        <v>0</v>
      </c>
      <c r="V548">
        <v>350</v>
      </c>
      <c r="W548" t="s">
        <v>30</v>
      </c>
      <c r="X548" s="6" t="s">
        <v>845</v>
      </c>
    </row>
    <row r="549" spans="1:24" hidden="1" x14ac:dyDescent="0.25">
      <c r="A549" t="s">
        <v>891</v>
      </c>
      <c r="B549" t="s">
        <v>237</v>
      </c>
      <c r="C549" t="s">
        <v>34</v>
      </c>
      <c r="D549">
        <v>28</v>
      </c>
      <c r="E549" t="s">
        <v>890</v>
      </c>
      <c r="F549" t="s">
        <v>35</v>
      </c>
      <c r="G549" t="s">
        <v>26</v>
      </c>
      <c r="H549" t="str">
        <f>INDEX(Table1[Diagnosis],MATCH(I549,'codeand diagnosis'!$A$2:$A$11,0))</f>
        <v>Dental examination</v>
      </c>
      <c r="I549" t="s">
        <v>45</v>
      </c>
      <c r="J549" t="str">
        <f>INDEX(Table1[ICD-10 Code],MATCH(Table2[[#This Row],[Treatment]],Table1[Treatment Type],0))</f>
        <v>Z01.2</v>
      </c>
      <c r="K549" t="s">
        <v>28</v>
      </c>
      <c r="L549" t="s">
        <v>28</v>
      </c>
      <c r="M549" t="s">
        <v>29</v>
      </c>
      <c r="N549">
        <f>Table2[[#This Row],[Total Paid]]+Table2[[#This Row],[Due]]</f>
        <v>200</v>
      </c>
      <c r="O549">
        <v>0</v>
      </c>
      <c r="P549">
        <v>0</v>
      </c>
      <c r="Q549">
        <v>200</v>
      </c>
      <c r="R549">
        <v>0</v>
      </c>
      <c r="S549">
        <v>0</v>
      </c>
      <c r="T549">
        <v>200</v>
      </c>
      <c r="U549">
        <v>0</v>
      </c>
      <c r="V549">
        <v>200</v>
      </c>
      <c r="W549" t="s">
        <v>51</v>
      </c>
      <c r="X549" s="6" t="s">
        <v>845</v>
      </c>
    </row>
    <row r="550" spans="1:24" hidden="1" x14ac:dyDescent="0.25">
      <c r="A550" t="s">
        <v>892</v>
      </c>
      <c r="B550" t="s">
        <v>194</v>
      </c>
      <c r="C550" t="s">
        <v>34</v>
      </c>
      <c r="D550">
        <v>62</v>
      </c>
      <c r="E550" t="s">
        <v>893</v>
      </c>
      <c r="F550" t="s">
        <v>50</v>
      </c>
      <c r="G550" t="s">
        <v>26</v>
      </c>
      <c r="H550" t="str">
        <f>INDEX(Table1[Diagnosis],MATCH(I550,'codeand diagnosis'!$A$2:$A$11,0))</f>
        <v>Dental examination with radiology</v>
      </c>
      <c r="I550" t="s">
        <v>37</v>
      </c>
      <c r="J550" t="str">
        <f>INDEX(Table1[ICD-10 Code],MATCH(Table2[[#This Row],[Treatment]],Table1[Treatment Type],0))</f>
        <v>Z01.2</v>
      </c>
      <c r="K550" t="s">
        <v>28</v>
      </c>
      <c r="L550" t="s">
        <v>38</v>
      </c>
      <c r="M550" t="s">
        <v>29</v>
      </c>
      <c r="N550">
        <f>Table2[[#This Row],[Total Paid]]+Table2[[#This Row],[Due]]</f>
        <v>210</v>
      </c>
      <c r="O550">
        <v>0</v>
      </c>
      <c r="P550">
        <v>150</v>
      </c>
      <c r="Q550">
        <v>200</v>
      </c>
      <c r="R550">
        <v>0</v>
      </c>
      <c r="S550">
        <v>140</v>
      </c>
      <c r="T550">
        <v>210</v>
      </c>
      <c r="U550">
        <v>0</v>
      </c>
      <c r="V550">
        <v>210</v>
      </c>
      <c r="W550" t="s">
        <v>51</v>
      </c>
      <c r="X550" s="6" t="s">
        <v>845</v>
      </c>
    </row>
    <row r="551" spans="1:24" hidden="1" x14ac:dyDescent="0.25">
      <c r="A551" t="s">
        <v>894</v>
      </c>
      <c r="B551" t="s">
        <v>414</v>
      </c>
      <c r="C551" t="s">
        <v>24</v>
      </c>
      <c r="D551">
        <v>46</v>
      </c>
      <c r="E551" t="s">
        <v>893</v>
      </c>
      <c r="F551" t="s">
        <v>50</v>
      </c>
      <c r="G551" t="s">
        <v>36</v>
      </c>
      <c r="H551" t="str">
        <f>INDEX(Table1[Diagnosis],MATCH(I551,'codeand diagnosis'!$A$2:$A$11,0))</f>
        <v>Loss of teeth</v>
      </c>
      <c r="I551" t="s">
        <v>68</v>
      </c>
      <c r="J551" t="str">
        <f>INDEX(Table1[ICD-10 Code],MATCH(Table2[[#This Row],[Treatment]],Table1[Treatment Type],0))</f>
        <v>K08.1</v>
      </c>
      <c r="K551" t="s">
        <v>28</v>
      </c>
      <c r="L551" t="s">
        <v>38</v>
      </c>
      <c r="M551" t="s">
        <v>29</v>
      </c>
      <c r="N551">
        <f>Table2[[#This Row],[Total Paid]]+Table2[[#This Row],[Due]]</f>
        <v>938</v>
      </c>
      <c r="O551">
        <v>938</v>
      </c>
      <c r="P551">
        <v>0</v>
      </c>
      <c r="Q551">
        <v>0</v>
      </c>
      <c r="R551">
        <v>0</v>
      </c>
      <c r="S551">
        <v>0</v>
      </c>
      <c r="T551">
        <v>938</v>
      </c>
      <c r="U551">
        <v>0</v>
      </c>
      <c r="V551">
        <v>938</v>
      </c>
      <c r="W551" t="s">
        <v>47</v>
      </c>
      <c r="X551" s="6" t="s">
        <v>845</v>
      </c>
    </row>
    <row r="552" spans="1:24" hidden="1" x14ac:dyDescent="0.25">
      <c r="A552" t="s">
        <v>895</v>
      </c>
      <c r="B552" t="s">
        <v>340</v>
      </c>
      <c r="C552" t="s">
        <v>34</v>
      </c>
      <c r="D552">
        <v>59</v>
      </c>
      <c r="E552" t="s">
        <v>896</v>
      </c>
      <c r="F552" t="s">
        <v>104</v>
      </c>
      <c r="G552" t="s">
        <v>26</v>
      </c>
      <c r="H552" t="str">
        <f>INDEX(Table1[Diagnosis],MATCH(I552,'codeand diagnosis'!$A$2:$A$11,0))</f>
        <v>Dental examination</v>
      </c>
      <c r="I552" t="s">
        <v>45</v>
      </c>
      <c r="J552" t="str">
        <f>INDEX(Table1[ICD-10 Code],MATCH(Table2[[#This Row],[Treatment]],Table1[Treatment Type],0))</f>
        <v>Z01.2</v>
      </c>
      <c r="K552" t="s">
        <v>28</v>
      </c>
      <c r="L552" t="s">
        <v>28</v>
      </c>
      <c r="M552" t="s">
        <v>29</v>
      </c>
      <c r="N552">
        <f>Table2[[#This Row],[Total Paid]]+Table2[[#This Row],[Due]]</f>
        <v>200</v>
      </c>
      <c r="O552">
        <v>0</v>
      </c>
      <c r="P552">
        <v>0</v>
      </c>
      <c r="Q552">
        <v>200</v>
      </c>
      <c r="R552">
        <v>0</v>
      </c>
      <c r="S552">
        <v>0</v>
      </c>
      <c r="T552">
        <v>200</v>
      </c>
      <c r="U552">
        <v>0</v>
      </c>
      <c r="V552">
        <v>200</v>
      </c>
      <c r="W552" t="s">
        <v>51</v>
      </c>
      <c r="X552" s="6" t="s">
        <v>845</v>
      </c>
    </row>
    <row r="553" spans="1:24" hidden="1" x14ac:dyDescent="0.25">
      <c r="A553" t="s">
        <v>897</v>
      </c>
      <c r="B553" t="s">
        <v>86</v>
      </c>
      <c r="C553" t="s">
        <v>34</v>
      </c>
      <c r="D553">
        <v>38</v>
      </c>
      <c r="E553" t="s">
        <v>898</v>
      </c>
      <c r="F553" t="s">
        <v>88</v>
      </c>
      <c r="G553" t="s">
        <v>26</v>
      </c>
      <c r="H553" t="str">
        <f>INDEX(Table1[Diagnosis],MATCH(I553,'codeand diagnosis'!$A$2:$A$11,0))</f>
        <v>Dental examination</v>
      </c>
      <c r="I553" t="s">
        <v>45</v>
      </c>
      <c r="J553" t="str">
        <f>INDEX(Table1[ICD-10 Code],MATCH(Table2[[#This Row],[Treatment]],Table1[Treatment Type],0))</f>
        <v>Z01.2</v>
      </c>
      <c r="K553" t="s">
        <v>28</v>
      </c>
      <c r="L553" t="s">
        <v>28</v>
      </c>
      <c r="M553" t="s">
        <v>29</v>
      </c>
      <c r="N553">
        <f>Table2[[#This Row],[Total Paid]]+Table2[[#This Row],[Due]]</f>
        <v>120</v>
      </c>
      <c r="O553">
        <v>0</v>
      </c>
      <c r="P553">
        <v>0</v>
      </c>
      <c r="Q553">
        <v>200</v>
      </c>
      <c r="R553">
        <v>0</v>
      </c>
      <c r="S553">
        <v>80</v>
      </c>
      <c r="T553">
        <v>120</v>
      </c>
      <c r="U553">
        <v>0</v>
      </c>
      <c r="V553">
        <v>120</v>
      </c>
      <c r="W553" t="s">
        <v>42</v>
      </c>
      <c r="X553" s="6" t="s">
        <v>845</v>
      </c>
    </row>
    <row r="554" spans="1:24" hidden="1" x14ac:dyDescent="0.25">
      <c r="A554" t="s">
        <v>899</v>
      </c>
      <c r="B554" t="s">
        <v>151</v>
      </c>
      <c r="C554" t="s">
        <v>24</v>
      </c>
      <c r="D554">
        <v>50</v>
      </c>
      <c r="E554" t="s">
        <v>898</v>
      </c>
      <c r="F554" t="s">
        <v>92</v>
      </c>
      <c r="G554" t="s">
        <v>26</v>
      </c>
      <c r="H554" t="str">
        <f>INDEX(Table1[Diagnosis],MATCH(I554,'codeand diagnosis'!$A$2:$A$11,0))</f>
        <v>Dental examination with radiology</v>
      </c>
      <c r="I554" t="s">
        <v>37</v>
      </c>
      <c r="J554" t="str">
        <f>INDEX(Table1[ICD-10 Code],MATCH(Table2[[#This Row],[Treatment]],Table1[Treatment Type],0))</f>
        <v>Z01.2</v>
      </c>
      <c r="K554" t="s">
        <v>28</v>
      </c>
      <c r="L554" t="s">
        <v>38</v>
      </c>
      <c r="M554" t="s">
        <v>29</v>
      </c>
      <c r="N554">
        <f>Table2[[#This Row],[Total Paid]]+Table2[[#This Row],[Due]]</f>
        <v>350</v>
      </c>
      <c r="O554">
        <v>0</v>
      </c>
      <c r="P554">
        <v>150</v>
      </c>
      <c r="Q554">
        <v>200</v>
      </c>
      <c r="R554">
        <v>0</v>
      </c>
      <c r="S554">
        <v>0</v>
      </c>
      <c r="T554">
        <v>350</v>
      </c>
      <c r="U554">
        <v>0</v>
      </c>
      <c r="V554">
        <v>350</v>
      </c>
      <c r="W554" t="s">
        <v>47</v>
      </c>
      <c r="X554" s="6" t="s">
        <v>845</v>
      </c>
    </row>
    <row r="555" spans="1:24" hidden="1" x14ac:dyDescent="0.25">
      <c r="A555" t="s">
        <v>900</v>
      </c>
      <c r="B555" t="s">
        <v>414</v>
      </c>
      <c r="C555" t="s">
        <v>24</v>
      </c>
      <c r="D555">
        <v>65</v>
      </c>
      <c r="E555" t="s">
        <v>898</v>
      </c>
      <c r="F555" t="s">
        <v>245</v>
      </c>
      <c r="G555" t="s">
        <v>36</v>
      </c>
      <c r="H555" t="str">
        <f>INDEX(Table1[Diagnosis],MATCH(I555,'codeand diagnosis'!$A$2:$A$11,0))</f>
        <v>Dental examination with radiology</v>
      </c>
      <c r="I555" t="s">
        <v>37</v>
      </c>
      <c r="J555" t="str">
        <f>INDEX(Table1[ICD-10 Code],MATCH(Table2[[#This Row],[Treatment]],Table1[Treatment Type],0))</f>
        <v>Z01.2</v>
      </c>
      <c r="K555" t="s">
        <v>28</v>
      </c>
      <c r="L555" t="s">
        <v>38</v>
      </c>
      <c r="M555" t="s">
        <v>29</v>
      </c>
      <c r="N555">
        <f>Table2[[#This Row],[Total Paid]]+Table2[[#This Row],[Due]]</f>
        <v>210</v>
      </c>
      <c r="O555">
        <v>0</v>
      </c>
      <c r="P555">
        <v>150</v>
      </c>
      <c r="Q555">
        <v>200</v>
      </c>
      <c r="R555">
        <v>0</v>
      </c>
      <c r="S555">
        <v>140</v>
      </c>
      <c r="T555">
        <v>210</v>
      </c>
      <c r="U555">
        <v>0</v>
      </c>
      <c r="V555">
        <v>210</v>
      </c>
      <c r="W555" t="s">
        <v>30</v>
      </c>
      <c r="X555" s="6" t="s">
        <v>845</v>
      </c>
    </row>
    <row r="556" spans="1:24" hidden="1" x14ac:dyDescent="0.25">
      <c r="A556" t="s">
        <v>901</v>
      </c>
      <c r="B556" t="s">
        <v>294</v>
      </c>
      <c r="C556" t="s">
        <v>34</v>
      </c>
      <c r="D556">
        <v>68</v>
      </c>
      <c r="E556" t="s">
        <v>902</v>
      </c>
      <c r="F556" t="s">
        <v>50</v>
      </c>
      <c r="G556" t="s">
        <v>36</v>
      </c>
      <c r="H556" t="str">
        <f>INDEX(Table1[Diagnosis],MATCH(I556,'codeand diagnosis'!$A$2:$A$11,0))</f>
        <v>Retained dental root</v>
      </c>
      <c r="I556" t="s">
        <v>145</v>
      </c>
      <c r="J556" t="str">
        <f>INDEX(Table1[ICD-10 Code],MATCH(Table2[[#This Row],[Treatment]],Table1[Treatment Type],0))</f>
        <v>K08.3</v>
      </c>
      <c r="K556" t="s">
        <v>28</v>
      </c>
      <c r="L556" t="s">
        <v>38</v>
      </c>
      <c r="M556" t="s">
        <v>46</v>
      </c>
      <c r="N556">
        <f>Table2[[#This Row],[Total Paid]]+Table2[[#This Row],[Due]]</f>
        <v>2985</v>
      </c>
      <c r="O556">
        <v>2985</v>
      </c>
      <c r="P556">
        <v>0</v>
      </c>
      <c r="Q556">
        <v>0</v>
      </c>
      <c r="R556">
        <v>830</v>
      </c>
      <c r="S556">
        <v>0</v>
      </c>
      <c r="T556">
        <v>2985</v>
      </c>
      <c r="U556">
        <v>0</v>
      </c>
      <c r="V556">
        <v>2155</v>
      </c>
      <c r="W556" t="s">
        <v>30</v>
      </c>
      <c r="X556" s="6" t="s">
        <v>845</v>
      </c>
    </row>
    <row r="557" spans="1:24" hidden="1" x14ac:dyDescent="0.25">
      <c r="A557" t="s">
        <v>903</v>
      </c>
      <c r="B557" t="s">
        <v>296</v>
      </c>
      <c r="C557" t="s">
        <v>24</v>
      </c>
      <c r="D557">
        <v>26</v>
      </c>
      <c r="E557" t="s">
        <v>902</v>
      </c>
      <c r="F557" t="s">
        <v>88</v>
      </c>
      <c r="G557" t="s">
        <v>36</v>
      </c>
      <c r="H557" t="str">
        <f>INDEX(Table1[Diagnosis],MATCH(I557,'codeand diagnosis'!$A$2:$A$11,0))</f>
        <v>Dental examination with radiology</v>
      </c>
      <c r="I557" t="s">
        <v>37</v>
      </c>
      <c r="J557" t="str">
        <f>INDEX(Table1[ICD-10 Code],MATCH(Table2[[#This Row],[Treatment]],Table1[Treatment Type],0))</f>
        <v>Z01.2</v>
      </c>
      <c r="K557" t="s">
        <v>28</v>
      </c>
      <c r="L557" t="s">
        <v>38</v>
      </c>
      <c r="M557" t="s">
        <v>29</v>
      </c>
      <c r="N557">
        <f>Table2[[#This Row],[Total Paid]]+Table2[[#This Row],[Due]]</f>
        <v>350</v>
      </c>
      <c r="O557">
        <v>0</v>
      </c>
      <c r="P557">
        <v>150</v>
      </c>
      <c r="Q557">
        <v>200</v>
      </c>
      <c r="R557">
        <v>0</v>
      </c>
      <c r="S557">
        <v>0</v>
      </c>
      <c r="T557">
        <v>350</v>
      </c>
      <c r="U557">
        <v>0</v>
      </c>
      <c r="V557">
        <v>350</v>
      </c>
      <c r="W557" t="s">
        <v>51</v>
      </c>
      <c r="X557" s="6" t="s">
        <v>845</v>
      </c>
    </row>
    <row r="558" spans="1:24" hidden="1" x14ac:dyDescent="0.25">
      <c r="A558" t="s">
        <v>904</v>
      </c>
      <c r="B558" t="s">
        <v>182</v>
      </c>
      <c r="C558" t="s">
        <v>24</v>
      </c>
      <c r="D558">
        <v>26</v>
      </c>
      <c r="E558" t="s">
        <v>905</v>
      </c>
      <c r="F558" t="s">
        <v>50</v>
      </c>
      <c r="G558" t="s">
        <v>26</v>
      </c>
      <c r="H558" t="str">
        <f>INDEX(Table1[Diagnosis],MATCH(I558,'codeand diagnosis'!$A$2:$A$11,0))</f>
        <v>Missing teeth</v>
      </c>
      <c r="I558" t="s">
        <v>78</v>
      </c>
      <c r="J558" t="str">
        <f>INDEX(Table1[ICD-10 Code],MATCH(Table2[[#This Row],[Treatment]],Table1[Treatment Type],0))</f>
        <v>K08.1</v>
      </c>
      <c r="K558" t="s">
        <v>28</v>
      </c>
      <c r="L558" t="s">
        <v>38</v>
      </c>
      <c r="M558" t="s">
        <v>29</v>
      </c>
      <c r="N558">
        <f>Table2[[#This Row],[Total Paid]]+Table2[[#This Row],[Due]]</f>
        <v>27947</v>
      </c>
      <c r="O558">
        <v>28247</v>
      </c>
      <c r="P558">
        <v>0</v>
      </c>
      <c r="Q558">
        <v>0</v>
      </c>
      <c r="R558">
        <v>5940</v>
      </c>
      <c r="S558">
        <v>300</v>
      </c>
      <c r="T558">
        <v>27947</v>
      </c>
      <c r="U558">
        <v>0</v>
      </c>
      <c r="V558">
        <v>22007</v>
      </c>
      <c r="W558" t="s">
        <v>47</v>
      </c>
      <c r="X558" s="6" t="s">
        <v>845</v>
      </c>
    </row>
    <row r="559" spans="1:24" hidden="1" x14ac:dyDescent="0.25">
      <c r="A559" t="s">
        <v>906</v>
      </c>
      <c r="B559" t="s">
        <v>173</v>
      </c>
      <c r="C559" t="s">
        <v>24</v>
      </c>
      <c r="D559">
        <v>64</v>
      </c>
      <c r="E559" s="1">
        <v>45294</v>
      </c>
      <c r="F559" t="s">
        <v>35</v>
      </c>
      <c r="G559" t="s">
        <v>26</v>
      </c>
      <c r="H559" t="str">
        <f>INDEX(Table1[Diagnosis],MATCH(I559,'codeand diagnosis'!$A$2:$A$11,0))</f>
        <v>Missing teeth</v>
      </c>
      <c r="I559" t="s">
        <v>78</v>
      </c>
      <c r="J559" t="str">
        <f>INDEX(Table1[ICD-10 Code],MATCH(Table2[[#This Row],[Treatment]],Table1[Treatment Type],0))</f>
        <v>K08.1</v>
      </c>
      <c r="K559" t="s">
        <v>28</v>
      </c>
      <c r="L559" t="s">
        <v>38</v>
      </c>
      <c r="M559" t="s">
        <v>29</v>
      </c>
      <c r="N559">
        <f>Table2[[#This Row],[Total Paid]]+Table2[[#This Row],[Due]]</f>
        <v>21611</v>
      </c>
      <c r="O559">
        <v>21611</v>
      </c>
      <c r="P559">
        <v>0</v>
      </c>
      <c r="Q559">
        <v>0</v>
      </c>
      <c r="R559">
        <v>5700</v>
      </c>
      <c r="S559">
        <v>0</v>
      </c>
      <c r="T559">
        <v>21611</v>
      </c>
      <c r="U559">
        <v>0</v>
      </c>
      <c r="V559">
        <v>15911</v>
      </c>
      <c r="W559" t="s">
        <v>51</v>
      </c>
      <c r="X559" s="6" t="s">
        <v>907</v>
      </c>
    </row>
    <row r="560" spans="1:24" hidden="1" x14ac:dyDescent="0.25">
      <c r="A560" t="s">
        <v>908</v>
      </c>
      <c r="B560" t="s">
        <v>82</v>
      </c>
      <c r="C560" t="s">
        <v>24</v>
      </c>
      <c r="D560">
        <v>40</v>
      </c>
      <c r="E560" s="1">
        <v>45325</v>
      </c>
      <c r="F560" t="s">
        <v>35</v>
      </c>
      <c r="G560" t="s">
        <v>36</v>
      </c>
      <c r="H560" t="str">
        <f>INDEX(Table1[Diagnosis],MATCH(I560,'codeand diagnosis'!$A$2:$A$11,0))</f>
        <v>Dental examination with radiology</v>
      </c>
      <c r="I560" t="s">
        <v>37</v>
      </c>
      <c r="J560" t="str">
        <f>INDEX(Table1[ICD-10 Code],MATCH(Table2[[#This Row],[Treatment]],Table1[Treatment Type],0))</f>
        <v>Z01.2</v>
      </c>
      <c r="K560" t="s">
        <v>28</v>
      </c>
      <c r="L560" t="s">
        <v>38</v>
      </c>
      <c r="M560" t="s">
        <v>29</v>
      </c>
      <c r="N560">
        <f>Table2[[#This Row],[Total Paid]]+Table2[[#This Row],[Due]]</f>
        <v>350</v>
      </c>
      <c r="O560">
        <v>0</v>
      </c>
      <c r="P560">
        <v>150</v>
      </c>
      <c r="Q560">
        <v>200</v>
      </c>
      <c r="R560">
        <v>0</v>
      </c>
      <c r="S560">
        <v>0</v>
      </c>
      <c r="T560">
        <v>350</v>
      </c>
      <c r="U560">
        <v>0</v>
      </c>
      <c r="V560">
        <v>350</v>
      </c>
      <c r="W560" t="s">
        <v>51</v>
      </c>
      <c r="X560" s="6" t="s">
        <v>907</v>
      </c>
    </row>
    <row r="561" spans="1:24" hidden="1" x14ac:dyDescent="0.25">
      <c r="A561" t="s">
        <v>909</v>
      </c>
      <c r="B561" t="s">
        <v>141</v>
      </c>
      <c r="C561" t="s">
        <v>34</v>
      </c>
      <c r="D561">
        <v>79</v>
      </c>
      <c r="E561" s="1">
        <v>45325</v>
      </c>
      <c r="F561" t="s">
        <v>25</v>
      </c>
      <c r="G561" t="s">
        <v>26</v>
      </c>
      <c r="H561" t="str">
        <f>INDEX(Table1[Diagnosis],MATCH(I561,'codeand diagnosis'!$A$2:$A$11,0))</f>
        <v>Dental examination</v>
      </c>
      <c r="I561" t="s">
        <v>45</v>
      </c>
      <c r="J561" t="str">
        <f>INDEX(Table1[ICD-10 Code],MATCH(Table2[[#This Row],[Treatment]],Table1[Treatment Type],0))</f>
        <v>Z01.2</v>
      </c>
      <c r="K561" t="s">
        <v>28</v>
      </c>
      <c r="L561" t="s">
        <v>28</v>
      </c>
      <c r="M561" t="s">
        <v>61</v>
      </c>
      <c r="N561">
        <f>Table2[[#This Row],[Total Paid]]+Table2[[#This Row],[Due]]</f>
        <v>200</v>
      </c>
      <c r="O561">
        <v>0</v>
      </c>
      <c r="P561">
        <v>0</v>
      </c>
      <c r="Q561">
        <v>200</v>
      </c>
      <c r="R561">
        <v>0</v>
      </c>
      <c r="S561">
        <v>0</v>
      </c>
      <c r="T561">
        <v>200</v>
      </c>
      <c r="U561">
        <v>0</v>
      </c>
      <c r="V561">
        <v>200</v>
      </c>
      <c r="W561" t="s">
        <v>51</v>
      </c>
      <c r="X561" s="6" t="s">
        <v>907</v>
      </c>
    </row>
    <row r="562" spans="1:24" hidden="1" x14ac:dyDescent="0.25">
      <c r="A562" t="s">
        <v>910</v>
      </c>
      <c r="B562" t="s">
        <v>290</v>
      </c>
      <c r="C562" t="s">
        <v>34</v>
      </c>
      <c r="D562">
        <v>16</v>
      </c>
      <c r="E562" s="1">
        <v>45385</v>
      </c>
      <c r="F562" t="s">
        <v>88</v>
      </c>
      <c r="G562" t="s">
        <v>26</v>
      </c>
      <c r="H562" t="str">
        <f>INDEX(Table1[Diagnosis],MATCH(I562,'codeand diagnosis'!$A$2:$A$11,0))</f>
        <v>Cosmetic procedure</v>
      </c>
      <c r="I562" t="s">
        <v>55</v>
      </c>
      <c r="J562" t="str">
        <f>INDEX(Table1[ICD-10 Code],MATCH(Table2[[#This Row],[Treatment]],Table1[Treatment Type],0))</f>
        <v>Z41.1</v>
      </c>
      <c r="K562" t="s">
        <v>28</v>
      </c>
      <c r="L562" t="s">
        <v>28</v>
      </c>
      <c r="M562" t="s">
        <v>29</v>
      </c>
      <c r="N562">
        <f>Table2[[#This Row],[Total Paid]]+Table2[[#This Row],[Due]]</f>
        <v>1611</v>
      </c>
      <c r="O562">
        <v>1611</v>
      </c>
      <c r="P562">
        <v>0</v>
      </c>
      <c r="Q562">
        <v>0</v>
      </c>
      <c r="R562">
        <v>0</v>
      </c>
      <c r="S562">
        <v>0</v>
      </c>
      <c r="T562">
        <v>1231</v>
      </c>
      <c r="U562">
        <v>380</v>
      </c>
      <c r="V562">
        <v>1231</v>
      </c>
      <c r="W562" t="s">
        <v>42</v>
      </c>
      <c r="X562" s="6" t="s">
        <v>907</v>
      </c>
    </row>
    <row r="563" spans="1:24" hidden="1" x14ac:dyDescent="0.25">
      <c r="A563" t="s">
        <v>911</v>
      </c>
      <c r="B563" t="s">
        <v>75</v>
      </c>
      <c r="C563" t="s">
        <v>24</v>
      </c>
      <c r="D563">
        <v>70</v>
      </c>
      <c r="E563" s="1">
        <v>45385</v>
      </c>
      <c r="F563" t="s">
        <v>35</v>
      </c>
      <c r="G563" t="s">
        <v>26</v>
      </c>
      <c r="H563" t="str">
        <f>INDEX(Table1[Diagnosis],MATCH(I563,'codeand diagnosis'!$A$2:$A$11,0))</f>
        <v>Dental examination with radiology</v>
      </c>
      <c r="I563" t="s">
        <v>37</v>
      </c>
      <c r="J563" t="str">
        <f>INDEX(Table1[ICD-10 Code],MATCH(Table2[[#This Row],[Treatment]],Table1[Treatment Type],0))</f>
        <v>Z01.2</v>
      </c>
      <c r="K563" t="s">
        <v>28</v>
      </c>
      <c r="L563" t="s">
        <v>38</v>
      </c>
      <c r="M563" t="s">
        <v>61</v>
      </c>
      <c r="N563">
        <f>Table2[[#This Row],[Total Paid]]+Table2[[#This Row],[Due]]</f>
        <v>210</v>
      </c>
      <c r="O563">
        <v>0</v>
      </c>
      <c r="P563">
        <v>150</v>
      </c>
      <c r="Q563">
        <v>200</v>
      </c>
      <c r="R563">
        <v>0</v>
      </c>
      <c r="S563">
        <v>140</v>
      </c>
      <c r="T563">
        <v>210</v>
      </c>
      <c r="U563">
        <v>0</v>
      </c>
      <c r="V563">
        <v>210</v>
      </c>
      <c r="W563" t="s">
        <v>51</v>
      </c>
      <c r="X563" s="6" t="s">
        <v>907</v>
      </c>
    </row>
    <row r="564" spans="1:24" hidden="1" x14ac:dyDescent="0.25">
      <c r="A564" t="s">
        <v>912</v>
      </c>
      <c r="B564" t="s">
        <v>365</v>
      </c>
      <c r="C564" t="s">
        <v>24</v>
      </c>
      <c r="D564">
        <v>20</v>
      </c>
      <c r="E564" s="1">
        <v>45415</v>
      </c>
      <c r="F564" t="s">
        <v>132</v>
      </c>
      <c r="G564" t="s">
        <v>26</v>
      </c>
      <c r="H564" t="str">
        <f>INDEX(Table1[Diagnosis],MATCH(I564,'codeand diagnosis'!$A$2:$A$11,0))</f>
        <v>Malocclusion</v>
      </c>
      <c r="I564" t="s">
        <v>89</v>
      </c>
      <c r="J564" t="str">
        <f>INDEX(Table1[ICD-10 Code],MATCH(Table2[[#This Row],[Treatment]],Table1[Treatment Type],0))</f>
        <v>K07.4</v>
      </c>
      <c r="K564" t="s">
        <v>38</v>
      </c>
      <c r="L564" t="s">
        <v>38</v>
      </c>
      <c r="M564" t="s">
        <v>29</v>
      </c>
      <c r="N564">
        <f>Table2[[#This Row],[Total Paid]]+Table2[[#This Row],[Due]]</f>
        <v>14063</v>
      </c>
      <c r="O564">
        <v>14063</v>
      </c>
      <c r="P564">
        <v>0</v>
      </c>
      <c r="Q564">
        <v>0</v>
      </c>
      <c r="R564">
        <v>3270</v>
      </c>
      <c r="S564">
        <v>0</v>
      </c>
      <c r="T564">
        <v>14063</v>
      </c>
      <c r="U564">
        <v>0</v>
      </c>
      <c r="V564">
        <v>10793</v>
      </c>
      <c r="W564" t="s">
        <v>42</v>
      </c>
      <c r="X564" s="6" t="s">
        <v>907</v>
      </c>
    </row>
    <row r="565" spans="1:24" hidden="1" x14ac:dyDescent="0.25">
      <c r="A565" t="s">
        <v>913</v>
      </c>
      <c r="B565" t="s">
        <v>262</v>
      </c>
      <c r="C565" t="s">
        <v>34</v>
      </c>
      <c r="D565">
        <v>49</v>
      </c>
      <c r="E565" s="1">
        <v>45415</v>
      </c>
      <c r="F565" t="s">
        <v>35</v>
      </c>
      <c r="G565" t="s">
        <v>36</v>
      </c>
      <c r="H565" t="str">
        <f>INDEX(Table1[Diagnosis],MATCH(I565,'codeand diagnosis'!$A$2:$A$11,0))</f>
        <v>Dental examination with radiology</v>
      </c>
      <c r="I565" t="s">
        <v>37</v>
      </c>
      <c r="J565" t="str">
        <f>INDEX(Table1[ICD-10 Code],MATCH(Table2[[#This Row],[Treatment]],Table1[Treatment Type],0))</f>
        <v>Z01.2</v>
      </c>
      <c r="K565" t="s">
        <v>28</v>
      </c>
      <c r="L565" t="s">
        <v>38</v>
      </c>
      <c r="M565" t="s">
        <v>29</v>
      </c>
      <c r="N565">
        <f>Table2[[#This Row],[Total Paid]]+Table2[[#This Row],[Due]]</f>
        <v>350</v>
      </c>
      <c r="O565">
        <v>0</v>
      </c>
      <c r="P565">
        <v>150</v>
      </c>
      <c r="Q565">
        <v>200</v>
      </c>
      <c r="R565">
        <v>0</v>
      </c>
      <c r="S565">
        <v>0</v>
      </c>
      <c r="T565">
        <v>350</v>
      </c>
      <c r="U565">
        <v>0</v>
      </c>
      <c r="V565">
        <v>350</v>
      </c>
      <c r="W565" t="s">
        <v>51</v>
      </c>
      <c r="X565" s="6" t="s">
        <v>907</v>
      </c>
    </row>
    <row r="566" spans="1:24" hidden="1" x14ac:dyDescent="0.25">
      <c r="A566" t="s">
        <v>914</v>
      </c>
      <c r="B566" t="s">
        <v>91</v>
      </c>
      <c r="C566" t="s">
        <v>34</v>
      </c>
      <c r="D566">
        <v>16</v>
      </c>
      <c r="E566" s="1">
        <v>45446</v>
      </c>
      <c r="F566" t="s">
        <v>50</v>
      </c>
      <c r="G566" t="s">
        <v>26</v>
      </c>
      <c r="H566" t="str">
        <f>INDEX(Table1[Diagnosis],MATCH(I566,'codeand diagnosis'!$A$2:$A$11,0))</f>
        <v>Dental examination</v>
      </c>
      <c r="I566" t="s">
        <v>45</v>
      </c>
      <c r="J566" t="str">
        <f>INDEX(Table1[ICD-10 Code],MATCH(Table2[[#This Row],[Treatment]],Table1[Treatment Type],0))</f>
        <v>Z01.2</v>
      </c>
      <c r="K566" t="s">
        <v>28</v>
      </c>
      <c r="L566" t="s">
        <v>28</v>
      </c>
      <c r="M566" t="s">
        <v>29</v>
      </c>
      <c r="N566">
        <f>Table2[[#This Row],[Total Paid]]+Table2[[#This Row],[Due]]</f>
        <v>200</v>
      </c>
      <c r="O566">
        <v>0</v>
      </c>
      <c r="P566">
        <v>0</v>
      </c>
      <c r="Q566">
        <v>200</v>
      </c>
      <c r="R566">
        <v>0</v>
      </c>
      <c r="S566">
        <v>0</v>
      </c>
      <c r="T566">
        <v>200</v>
      </c>
      <c r="U566">
        <v>0</v>
      </c>
      <c r="V566">
        <v>200</v>
      </c>
      <c r="W566" t="s">
        <v>51</v>
      </c>
      <c r="X566" s="6" t="s">
        <v>907</v>
      </c>
    </row>
    <row r="567" spans="1:24" hidden="1" x14ac:dyDescent="0.25">
      <c r="A567" t="s">
        <v>915</v>
      </c>
      <c r="B567" t="s">
        <v>100</v>
      </c>
      <c r="C567" t="s">
        <v>34</v>
      </c>
      <c r="D567">
        <v>49</v>
      </c>
      <c r="E567" s="1">
        <v>45476</v>
      </c>
      <c r="F567" t="s">
        <v>88</v>
      </c>
      <c r="G567" t="s">
        <v>26</v>
      </c>
      <c r="H567" t="str">
        <f>INDEX(Table1[Diagnosis],MATCH(I567,'codeand diagnosis'!$A$2:$A$11,0))</f>
        <v>Dental examination with radiology</v>
      </c>
      <c r="I567" t="s">
        <v>37</v>
      </c>
      <c r="J567" t="str">
        <f>INDEX(Table1[ICD-10 Code],MATCH(Table2[[#This Row],[Treatment]],Table1[Treatment Type],0))</f>
        <v>Z01.2</v>
      </c>
      <c r="K567" t="s">
        <v>38</v>
      </c>
      <c r="L567" t="s">
        <v>38</v>
      </c>
      <c r="M567" t="s">
        <v>29</v>
      </c>
      <c r="N567">
        <f>Table2[[#This Row],[Total Paid]]+Table2[[#This Row],[Due]]</f>
        <v>150</v>
      </c>
      <c r="O567">
        <v>0</v>
      </c>
      <c r="P567">
        <v>150</v>
      </c>
      <c r="Q567">
        <v>0</v>
      </c>
      <c r="R567">
        <v>0</v>
      </c>
      <c r="S567">
        <v>0</v>
      </c>
      <c r="T567">
        <v>150</v>
      </c>
      <c r="U567">
        <v>0</v>
      </c>
      <c r="V567">
        <v>150</v>
      </c>
      <c r="W567" t="s">
        <v>51</v>
      </c>
      <c r="X567" s="6" t="s">
        <v>907</v>
      </c>
    </row>
    <row r="568" spans="1:24" hidden="1" x14ac:dyDescent="0.25">
      <c r="A568" t="s">
        <v>916</v>
      </c>
      <c r="B568" t="s">
        <v>156</v>
      </c>
      <c r="C568" t="s">
        <v>24</v>
      </c>
      <c r="D568">
        <v>11</v>
      </c>
      <c r="E568" s="1">
        <v>45476</v>
      </c>
      <c r="F568" t="s">
        <v>35</v>
      </c>
      <c r="G568" t="s">
        <v>36</v>
      </c>
      <c r="H568" t="str">
        <f>INDEX(Table1[Diagnosis],MATCH(I568,'codeand diagnosis'!$A$2:$A$11,0))</f>
        <v>Dental examination with radiology</v>
      </c>
      <c r="I568" t="s">
        <v>37</v>
      </c>
      <c r="J568" t="str">
        <f>INDEX(Table1[ICD-10 Code],MATCH(Table2[[#This Row],[Treatment]],Table1[Treatment Type],0))</f>
        <v>Z01.2</v>
      </c>
      <c r="K568" t="s">
        <v>28</v>
      </c>
      <c r="L568" t="s">
        <v>38</v>
      </c>
      <c r="M568" t="s">
        <v>61</v>
      </c>
      <c r="N568">
        <f>Table2[[#This Row],[Total Paid]]+Table2[[#This Row],[Due]]</f>
        <v>350</v>
      </c>
      <c r="O568">
        <v>0</v>
      </c>
      <c r="P568">
        <v>150</v>
      </c>
      <c r="Q568">
        <v>200</v>
      </c>
      <c r="R568">
        <v>0</v>
      </c>
      <c r="S568">
        <v>0</v>
      </c>
      <c r="T568">
        <v>350</v>
      </c>
      <c r="U568">
        <v>0</v>
      </c>
      <c r="V568">
        <v>350</v>
      </c>
      <c r="W568" t="s">
        <v>51</v>
      </c>
      <c r="X568" s="6" t="s">
        <v>907</v>
      </c>
    </row>
    <row r="569" spans="1:24" hidden="1" x14ac:dyDescent="0.25">
      <c r="A569" t="s">
        <v>917</v>
      </c>
      <c r="B569" t="s">
        <v>237</v>
      </c>
      <c r="C569" t="s">
        <v>34</v>
      </c>
      <c r="D569">
        <v>61</v>
      </c>
      <c r="E569" s="1">
        <v>45476</v>
      </c>
      <c r="F569" t="s">
        <v>35</v>
      </c>
      <c r="G569" t="s">
        <v>26</v>
      </c>
      <c r="H569" t="str">
        <f>INDEX(Table1[Diagnosis],MATCH(I569,'codeand diagnosis'!$A$2:$A$11,0))</f>
        <v>Malocclusion</v>
      </c>
      <c r="I569" t="s">
        <v>89</v>
      </c>
      <c r="J569" t="str">
        <f>INDEX(Table1[ICD-10 Code],MATCH(Table2[[#This Row],[Treatment]],Table1[Treatment Type],0))</f>
        <v>K07.4</v>
      </c>
      <c r="K569" t="s">
        <v>28</v>
      </c>
      <c r="L569" t="s">
        <v>28</v>
      </c>
      <c r="M569" t="s">
        <v>46</v>
      </c>
      <c r="N569">
        <f>Table2[[#This Row],[Total Paid]]+Table2[[#This Row],[Due]]</f>
        <v>16881</v>
      </c>
      <c r="O569">
        <v>16881</v>
      </c>
      <c r="P569">
        <v>0</v>
      </c>
      <c r="Q569">
        <v>0</v>
      </c>
      <c r="R569">
        <v>4890</v>
      </c>
      <c r="S569">
        <v>0</v>
      </c>
      <c r="T569">
        <v>16881</v>
      </c>
      <c r="U569">
        <v>0</v>
      </c>
      <c r="V569">
        <v>11991</v>
      </c>
      <c r="W569" t="s">
        <v>51</v>
      </c>
      <c r="X569" s="6" t="s">
        <v>907</v>
      </c>
    </row>
    <row r="570" spans="1:24" hidden="1" x14ac:dyDescent="0.25">
      <c r="A570" t="s">
        <v>918</v>
      </c>
      <c r="B570" t="s">
        <v>204</v>
      </c>
      <c r="C570" t="s">
        <v>34</v>
      </c>
      <c r="D570">
        <v>62</v>
      </c>
      <c r="E570" s="1">
        <v>45507</v>
      </c>
      <c r="F570" t="s">
        <v>88</v>
      </c>
      <c r="G570" t="s">
        <v>26</v>
      </c>
      <c r="H570" t="str">
        <f>INDEX(Table1[Diagnosis],MATCH(I570,'codeand diagnosis'!$A$2:$A$11,0))</f>
        <v>Dental examination with radiology</v>
      </c>
      <c r="I570" t="s">
        <v>37</v>
      </c>
      <c r="J570" t="str">
        <f>INDEX(Table1[ICD-10 Code],MATCH(Table2[[#This Row],[Treatment]],Table1[Treatment Type],0))</f>
        <v>Z01.2</v>
      </c>
      <c r="K570" t="s">
        <v>28</v>
      </c>
      <c r="L570" t="s">
        <v>38</v>
      </c>
      <c r="M570" t="s">
        <v>46</v>
      </c>
      <c r="N570">
        <f>Table2[[#This Row],[Total Paid]]+Table2[[#This Row],[Due]]</f>
        <v>210</v>
      </c>
      <c r="O570">
        <v>0</v>
      </c>
      <c r="P570">
        <v>150</v>
      </c>
      <c r="Q570">
        <v>200</v>
      </c>
      <c r="R570">
        <v>0</v>
      </c>
      <c r="S570">
        <v>140</v>
      </c>
      <c r="T570">
        <v>210</v>
      </c>
      <c r="U570">
        <v>0</v>
      </c>
      <c r="V570">
        <v>210</v>
      </c>
      <c r="W570" t="s">
        <v>51</v>
      </c>
      <c r="X570" s="6" t="s">
        <v>907</v>
      </c>
    </row>
    <row r="571" spans="1:24" hidden="1" x14ac:dyDescent="0.25">
      <c r="A571" t="s">
        <v>919</v>
      </c>
      <c r="B571" t="s">
        <v>296</v>
      </c>
      <c r="C571" t="s">
        <v>24</v>
      </c>
      <c r="D571">
        <v>33</v>
      </c>
      <c r="E571" s="1">
        <v>45507</v>
      </c>
      <c r="F571" t="s">
        <v>88</v>
      </c>
      <c r="G571" t="s">
        <v>26</v>
      </c>
      <c r="H571" t="str">
        <f>INDEX(Table1[Diagnosis],MATCH(I571,'codeand diagnosis'!$A$2:$A$11,0))</f>
        <v>Malocclusion</v>
      </c>
      <c r="I571" t="s">
        <v>89</v>
      </c>
      <c r="J571" t="str">
        <f>INDEX(Table1[ICD-10 Code],MATCH(Table2[[#This Row],[Treatment]],Table1[Treatment Type],0))</f>
        <v>K07.4</v>
      </c>
      <c r="K571" t="s">
        <v>28</v>
      </c>
      <c r="L571" t="s">
        <v>38</v>
      </c>
      <c r="M571" t="s">
        <v>29</v>
      </c>
      <c r="N571">
        <f>Table2[[#This Row],[Total Paid]]+Table2[[#This Row],[Due]]</f>
        <v>12169</v>
      </c>
      <c r="O571">
        <v>12169</v>
      </c>
      <c r="P571">
        <v>0</v>
      </c>
      <c r="Q571">
        <v>0</v>
      </c>
      <c r="R571">
        <v>2960</v>
      </c>
      <c r="S571">
        <v>0</v>
      </c>
      <c r="T571">
        <v>8206</v>
      </c>
      <c r="U571">
        <v>3963</v>
      </c>
      <c r="V571">
        <v>5246</v>
      </c>
      <c r="W571" t="s">
        <v>42</v>
      </c>
      <c r="X571" s="6" t="s">
        <v>907</v>
      </c>
    </row>
    <row r="572" spans="1:24" hidden="1" x14ac:dyDescent="0.25">
      <c r="A572" t="s">
        <v>920</v>
      </c>
      <c r="B572" t="s">
        <v>398</v>
      </c>
      <c r="C572" t="s">
        <v>34</v>
      </c>
      <c r="D572">
        <v>38</v>
      </c>
      <c r="E572" s="1">
        <v>45507</v>
      </c>
      <c r="F572" t="s">
        <v>50</v>
      </c>
      <c r="G572" t="s">
        <v>36</v>
      </c>
      <c r="H572" t="str">
        <f>INDEX(Table1[Diagnosis],MATCH(I572,'codeand diagnosis'!$A$2:$A$11,0))</f>
        <v>Dental examination</v>
      </c>
      <c r="I572" t="s">
        <v>45</v>
      </c>
      <c r="J572" t="str">
        <f>INDEX(Table1[ICD-10 Code],MATCH(Table2[[#This Row],[Treatment]],Table1[Treatment Type],0))</f>
        <v>Z01.2</v>
      </c>
      <c r="K572" t="s">
        <v>38</v>
      </c>
      <c r="L572" t="s">
        <v>28</v>
      </c>
      <c r="M572" t="s">
        <v>46</v>
      </c>
      <c r="N572">
        <f>Table2[[#This Row],[Total Paid]]+Table2[[#This Row],[Due]]</f>
        <v>0</v>
      </c>
      <c r="O572">
        <v>0</v>
      </c>
      <c r="P572">
        <v>0</v>
      </c>
      <c r="Q572">
        <v>0</v>
      </c>
      <c r="R572">
        <v>0</v>
      </c>
      <c r="S572">
        <v>0</v>
      </c>
      <c r="T572">
        <v>0</v>
      </c>
      <c r="U572">
        <v>0</v>
      </c>
      <c r="V572">
        <v>0</v>
      </c>
      <c r="W572" t="s">
        <v>51</v>
      </c>
      <c r="X572" s="6" t="s">
        <v>907</v>
      </c>
    </row>
    <row r="573" spans="1:24" hidden="1" x14ac:dyDescent="0.25">
      <c r="A573" t="s">
        <v>921</v>
      </c>
      <c r="B573" t="s">
        <v>121</v>
      </c>
      <c r="C573" t="s">
        <v>34</v>
      </c>
      <c r="D573">
        <v>51</v>
      </c>
      <c r="E573" s="1">
        <v>45538</v>
      </c>
      <c r="F573" t="s">
        <v>50</v>
      </c>
      <c r="G573" t="s">
        <v>36</v>
      </c>
      <c r="H573" t="str">
        <f>INDEX(Table1[Diagnosis],MATCH(I573,'codeand diagnosis'!$A$2:$A$11,0))</f>
        <v>Dental examination</v>
      </c>
      <c r="I573" t="s">
        <v>45</v>
      </c>
      <c r="J573" t="str">
        <f>INDEX(Table1[ICD-10 Code],MATCH(Table2[[#This Row],[Treatment]],Table1[Treatment Type],0))</f>
        <v>Z01.2</v>
      </c>
      <c r="K573" t="s">
        <v>28</v>
      </c>
      <c r="L573" t="s">
        <v>28</v>
      </c>
      <c r="M573" t="s">
        <v>29</v>
      </c>
      <c r="N573">
        <f>Table2[[#This Row],[Total Paid]]+Table2[[#This Row],[Due]]</f>
        <v>120</v>
      </c>
      <c r="O573">
        <v>0</v>
      </c>
      <c r="P573">
        <v>0</v>
      </c>
      <c r="Q573">
        <v>200</v>
      </c>
      <c r="R573">
        <v>0</v>
      </c>
      <c r="S573">
        <v>80</v>
      </c>
      <c r="T573">
        <v>120</v>
      </c>
      <c r="U573">
        <v>0</v>
      </c>
      <c r="V573">
        <v>120</v>
      </c>
      <c r="W573" t="s">
        <v>42</v>
      </c>
      <c r="X573" s="6" t="s">
        <v>907</v>
      </c>
    </row>
    <row r="574" spans="1:24" hidden="1" x14ac:dyDescent="0.25">
      <c r="A574" t="s">
        <v>922</v>
      </c>
      <c r="B574" t="s">
        <v>141</v>
      </c>
      <c r="C574" t="s">
        <v>34</v>
      </c>
      <c r="D574">
        <v>21</v>
      </c>
      <c r="E574" s="1">
        <v>45599</v>
      </c>
      <c r="F574" t="s">
        <v>35</v>
      </c>
      <c r="G574" t="s">
        <v>26</v>
      </c>
      <c r="H574" t="str">
        <f>INDEX(Table1[Diagnosis],MATCH(I574,'codeand diagnosis'!$A$2:$A$11,0))</f>
        <v>Dental examination with radiology</v>
      </c>
      <c r="I574" t="s">
        <v>37</v>
      </c>
      <c r="J574" t="str">
        <f>INDEX(Table1[ICD-10 Code],MATCH(Table2[[#This Row],[Treatment]],Table1[Treatment Type],0))</f>
        <v>Z01.2</v>
      </c>
      <c r="K574" t="s">
        <v>38</v>
      </c>
      <c r="L574" t="s">
        <v>38</v>
      </c>
      <c r="M574" t="s">
        <v>29</v>
      </c>
      <c r="N574">
        <f>Table2[[#This Row],[Total Paid]]+Table2[[#This Row],[Due]]</f>
        <v>90</v>
      </c>
      <c r="O574">
        <v>0</v>
      </c>
      <c r="P574">
        <v>150</v>
      </c>
      <c r="Q574">
        <v>0</v>
      </c>
      <c r="R574">
        <v>0</v>
      </c>
      <c r="S574">
        <v>60</v>
      </c>
      <c r="T574">
        <v>90</v>
      </c>
      <c r="U574">
        <v>0</v>
      </c>
      <c r="V574">
        <v>90</v>
      </c>
      <c r="W574" t="s">
        <v>47</v>
      </c>
      <c r="X574" s="6" t="s">
        <v>907</v>
      </c>
    </row>
    <row r="575" spans="1:24" hidden="1" x14ac:dyDescent="0.25">
      <c r="A575" t="s">
        <v>923</v>
      </c>
      <c r="B575" t="s">
        <v>361</v>
      </c>
      <c r="C575" t="s">
        <v>34</v>
      </c>
      <c r="D575">
        <v>69</v>
      </c>
      <c r="E575" s="1">
        <v>45599</v>
      </c>
      <c r="F575" t="s">
        <v>35</v>
      </c>
      <c r="G575" t="s">
        <v>36</v>
      </c>
      <c r="H575" t="str">
        <f>INDEX(Table1[Diagnosis],MATCH(I575,'codeand diagnosis'!$A$2:$A$11,0))</f>
        <v>Dental examination with radiology</v>
      </c>
      <c r="I575" t="s">
        <v>37</v>
      </c>
      <c r="J575" t="str">
        <f>INDEX(Table1[ICD-10 Code],MATCH(Table2[[#This Row],[Treatment]],Table1[Treatment Type],0))</f>
        <v>Z01.2</v>
      </c>
      <c r="K575" t="s">
        <v>28</v>
      </c>
      <c r="L575" t="s">
        <v>38</v>
      </c>
      <c r="M575" t="s">
        <v>29</v>
      </c>
      <c r="N575">
        <f>Table2[[#This Row],[Total Paid]]+Table2[[#This Row],[Due]]</f>
        <v>350</v>
      </c>
      <c r="O575">
        <v>0</v>
      </c>
      <c r="P575">
        <v>150</v>
      </c>
      <c r="Q575">
        <v>200</v>
      </c>
      <c r="R575">
        <v>0</v>
      </c>
      <c r="S575">
        <v>0</v>
      </c>
      <c r="T575">
        <v>350</v>
      </c>
      <c r="U575">
        <v>0</v>
      </c>
      <c r="V575">
        <v>350</v>
      </c>
      <c r="W575" t="s">
        <v>51</v>
      </c>
      <c r="X575" s="6" t="s">
        <v>907</v>
      </c>
    </row>
    <row r="576" spans="1:24" hidden="1" x14ac:dyDescent="0.25">
      <c r="A576" t="s">
        <v>924</v>
      </c>
      <c r="B576" t="s">
        <v>118</v>
      </c>
      <c r="C576" t="s">
        <v>24</v>
      </c>
      <c r="D576">
        <v>80</v>
      </c>
      <c r="E576" s="1">
        <v>45599</v>
      </c>
      <c r="F576" t="s">
        <v>50</v>
      </c>
      <c r="G576" t="s">
        <v>36</v>
      </c>
      <c r="H576" t="str">
        <f>INDEX(Table1[Diagnosis],MATCH(I576,'codeand diagnosis'!$A$2:$A$11,0))</f>
        <v>Dental examination</v>
      </c>
      <c r="I576" t="s">
        <v>45</v>
      </c>
      <c r="J576" t="str">
        <f>INDEX(Table1[ICD-10 Code],MATCH(Table2[[#This Row],[Treatment]],Table1[Treatment Type],0))</f>
        <v>Z01.2</v>
      </c>
      <c r="K576" t="s">
        <v>28</v>
      </c>
      <c r="L576" t="s">
        <v>28</v>
      </c>
      <c r="M576" t="s">
        <v>29</v>
      </c>
      <c r="N576">
        <f>Table2[[#This Row],[Total Paid]]+Table2[[#This Row],[Due]]</f>
        <v>200</v>
      </c>
      <c r="O576">
        <v>0</v>
      </c>
      <c r="P576">
        <v>0</v>
      </c>
      <c r="Q576">
        <v>200</v>
      </c>
      <c r="R576">
        <v>0</v>
      </c>
      <c r="S576">
        <v>0</v>
      </c>
      <c r="T576">
        <v>200</v>
      </c>
      <c r="U576">
        <v>0</v>
      </c>
      <c r="V576">
        <v>200</v>
      </c>
      <c r="W576" t="s">
        <v>30</v>
      </c>
      <c r="X576" s="6" t="s">
        <v>907</v>
      </c>
    </row>
    <row r="577" spans="1:24" hidden="1" x14ac:dyDescent="0.25">
      <c r="A577" t="s">
        <v>925</v>
      </c>
      <c r="B577" t="s">
        <v>180</v>
      </c>
      <c r="C577" t="s">
        <v>24</v>
      </c>
      <c r="D577">
        <v>57</v>
      </c>
      <c r="E577" t="s">
        <v>926</v>
      </c>
      <c r="F577" t="s">
        <v>35</v>
      </c>
      <c r="G577" t="s">
        <v>26</v>
      </c>
      <c r="H577" t="str">
        <f>INDEX(Table1[Diagnosis],MATCH(I577,'codeand diagnosis'!$A$2:$A$11,0))</f>
        <v>Dental examination</v>
      </c>
      <c r="I577" t="s">
        <v>45</v>
      </c>
      <c r="J577" t="str">
        <f>INDEX(Table1[ICD-10 Code],MATCH(Table2[[#This Row],[Treatment]],Table1[Treatment Type],0))</f>
        <v>Z01.2</v>
      </c>
      <c r="K577" t="s">
        <v>28</v>
      </c>
      <c r="L577" t="s">
        <v>28</v>
      </c>
      <c r="M577" t="s">
        <v>46</v>
      </c>
      <c r="N577">
        <f>Table2[[#This Row],[Total Paid]]+Table2[[#This Row],[Due]]</f>
        <v>200</v>
      </c>
      <c r="O577">
        <v>0</v>
      </c>
      <c r="P577">
        <v>0</v>
      </c>
      <c r="Q577">
        <v>200</v>
      </c>
      <c r="R577">
        <v>0</v>
      </c>
      <c r="S577">
        <v>0</v>
      </c>
      <c r="T577">
        <v>200</v>
      </c>
      <c r="U577">
        <v>0</v>
      </c>
      <c r="V577">
        <v>200</v>
      </c>
      <c r="W577" t="s">
        <v>42</v>
      </c>
      <c r="X577" s="6" t="s">
        <v>907</v>
      </c>
    </row>
    <row r="578" spans="1:24" hidden="1" x14ac:dyDescent="0.25">
      <c r="A578" t="s">
        <v>927</v>
      </c>
      <c r="B578" t="s">
        <v>151</v>
      </c>
      <c r="C578" t="s">
        <v>24</v>
      </c>
      <c r="D578">
        <v>56</v>
      </c>
      <c r="E578" t="s">
        <v>926</v>
      </c>
      <c r="F578" t="s">
        <v>88</v>
      </c>
      <c r="G578" t="s">
        <v>26</v>
      </c>
      <c r="H578" t="str">
        <f>INDEX(Table1[Diagnosis],MATCH(I578,'codeand diagnosis'!$A$2:$A$11,0))</f>
        <v>Missing teeth</v>
      </c>
      <c r="I578" t="s">
        <v>78</v>
      </c>
      <c r="J578" t="str">
        <f>INDEX(Table1[ICD-10 Code],MATCH(Table2[[#This Row],[Treatment]],Table1[Treatment Type],0))</f>
        <v>K08.1</v>
      </c>
      <c r="K578" t="s">
        <v>28</v>
      </c>
      <c r="L578" t="s">
        <v>28</v>
      </c>
      <c r="M578" t="s">
        <v>29</v>
      </c>
      <c r="N578">
        <f>Table2[[#This Row],[Total Paid]]+Table2[[#This Row],[Due]]</f>
        <v>22880</v>
      </c>
      <c r="O578">
        <v>22880</v>
      </c>
      <c r="P578">
        <v>0</v>
      </c>
      <c r="Q578">
        <v>0</v>
      </c>
      <c r="R578">
        <v>7010</v>
      </c>
      <c r="S578">
        <v>0</v>
      </c>
      <c r="T578">
        <v>22880</v>
      </c>
      <c r="U578">
        <v>0</v>
      </c>
      <c r="V578">
        <v>15870</v>
      </c>
      <c r="W578" t="s">
        <v>47</v>
      </c>
      <c r="X578" s="6" t="s">
        <v>907</v>
      </c>
    </row>
    <row r="579" spans="1:24" hidden="1" x14ac:dyDescent="0.25">
      <c r="A579" t="s">
        <v>928</v>
      </c>
      <c r="B579" t="s">
        <v>171</v>
      </c>
      <c r="C579" t="s">
        <v>24</v>
      </c>
      <c r="D579">
        <v>32</v>
      </c>
      <c r="E579" t="s">
        <v>929</v>
      </c>
      <c r="F579" t="s">
        <v>50</v>
      </c>
      <c r="G579" t="s">
        <v>26</v>
      </c>
      <c r="H579" t="str">
        <f>INDEX(Table1[Diagnosis],MATCH(I579,'codeand diagnosis'!$A$2:$A$11,0))</f>
        <v>Dental examination</v>
      </c>
      <c r="I579" t="s">
        <v>45</v>
      </c>
      <c r="J579" t="str">
        <f>INDEX(Table1[ICD-10 Code],MATCH(Table2[[#This Row],[Treatment]],Table1[Treatment Type],0))</f>
        <v>Z01.2</v>
      </c>
      <c r="K579" t="s">
        <v>38</v>
      </c>
      <c r="L579" t="s">
        <v>28</v>
      </c>
      <c r="M579" t="s">
        <v>29</v>
      </c>
      <c r="N579">
        <f>Table2[[#This Row],[Total Paid]]+Table2[[#This Row],[Due]]</f>
        <v>0</v>
      </c>
      <c r="O579">
        <v>0</v>
      </c>
      <c r="P579">
        <v>0</v>
      </c>
      <c r="Q579">
        <v>0</v>
      </c>
      <c r="R579">
        <v>0</v>
      </c>
      <c r="S579">
        <v>0</v>
      </c>
      <c r="T579">
        <v>0</v>
      </c>
      <c r="U579">
        <v>0</v>
      </c>
      <c r="V579">
        <v>0</v>
      </c>
      <c r="W579" t="s">
        <v>30</v>
      </c>
      <c r="X579" s="6" t="s">
        <v>907</v>
      </c>
    </row>
    <row r="580" spans="1:24" hidden="1" x14ac:dyDescent="0.25">
      <c r="A580" t="s">
        <v>930</v>
      </c>
      <c r="B580" t="s">
        <v>84</v>
      </c>
      <c r="C580" t="s">
        <v>34</v>
      </c>
      <c r="D580">
        <v>55</v>
      </c>
      <c r="E580" t="s">
        <v>929</v>
      </c>
      <c r="F580" t="s">
        <v>88</v>
      </c>
      <c r="G580" t="s">
        <v>26</v>
      </c>
      <c r="H580" t="str">
        <f>INDEX(Table1[Diagnosis],MATCH(I580,'codeand diagnosis'!$A$2:$A$11,0))</f>
        <v>Dental examination with radiology</v>
      </c>
      <c r="I580" t="s">
        <v>37</v>
      </c>
      <c r="J580" t="str">
        <f>INDEX(Table1[ICD-10 Code],MATCH(Table2[[#This Row],[Treatment]],Table1[Treatment Type],0))</f>
        <v>Z01.2</v>
      </c>
      <c r="K580" t="s">
        <v>28</v>
      </c>
      <c r="L580" t="s">
        <v>38</v>
      </c>
      <c r="M580" t="s">
        <v>29</v>
      </c>
      <c r="N580">
        <f>Table2[[#This Row],[Total Paid]]+Table2[[#This Row],[Due]]</f>
        <v>350</v>
      </c>
      <c r="O580">
        <v>0</v>
      </c>
      <c r="P580">
        <v>150</v>
      </c>
      <c r="Q580">
        <v>200</v>
      </c>
      <c r="R580">
        <v>0</v>
      </c>
      <c r="S580">
        <v>0</v>
      </c>
      <c r="T580">
        <v>350</v>
      </c>
      <c r="U580">
        <v>0</v>
      </c>
      <c r="V580">
        <v>350</v>
      </c>
      <c r="W580" t="s">
        <v>51</v>
      </c>
      <c r="X580" s="6" t="s">
        <v>907</v>
      </c>
    </row>
    <row r="581" spans="1:24" hidden="1" x14ac:dyDescent="0.25">
      <c r="A581" t="s">
        <v>931</v>
      </c>
      <c r="B581" t="s">
        <v>98</v>
      </c>
      <c r="C581" t="s">
        <v>24</v>
      </c>
      <c r="D581">
        <v>26</v>
      </c>
      <c r="E581" t="s">
        <v>932</v>
      </c>
      <c r="F581" t="s">
        <v>50</v>
      </c>
      <c r="G581" t="s">
        <v>36</v>
      </c>
      <c r="H581" t="str">
        <f>INDEX(Table1[Diagnosis],MATCH(I581,'codeand diagnosis'!$A$2:$A$11,0))</f>
        <v>Dental examination with radiology</v>
      </c>
      <c r="I581" t="s">
        <v>37</v>
      </c>
      <c r="J581" t="str">
        <f>INDEX(Table1[ICD-10 Code],MATCH(Table2[[#This Row],[Treatment]],Table1[Treatment Type],0))</f>
        <v>Z01.2</v>
      </c>
      <c r="K581" t="s">
        <v>38</v>
      </c>
      <c r="L581" t="s">
        <v>38</v>
      </c>
      <c r="M581" t="s">
        <v>29</v>
      </c>
      <c r="N581">
        <f>Table2[[#This Row],[Total Paid]]+Table2[[#This Row],[Due]]</f>
        <v>150</v>
      </c>
      <c r="O581">
        <v>0</v>
      </c>
      <c r="P581">
        <v>150</v>
      </c>
      <c r="Q581">
        <v>0</v>
      </c>
      <c r="R581">
        <v>0</v>
      </c>
      <c r="S581">
        <v>0</v>
      </c>
      <c r="T581">
        <v>150</v>
      </c>
      <c r="U581">
        <v>0</v>
      </c>
      <c r="V581">
        <v>150</v>
      </c>
      <c r="W581" t="s">
        <v>51</v>
      </c>
      <c r="X581" s="6" t="s">
        <v>907</v>
      </c>
    </row>
    <row r="582" spans="1:24" hidden="1" x14ac:dyDescent="0.25">
      <c r="A582" t="s">
        <v>933</v>
      </c>
      <c r="B582" t="s">
        <v>67</v>
      </c>
      <c r="C582" t="s">
        <v>24</v>
      </c>
      <c r="D582">
        <v>34</v>
      </c>
      <c r="E582" t="s">
        <v>932</v>
      </c>
      <c r="F582" t="s">
        <v>88</v>
      </c>
      <c r="G582" t="s">
        <v>36</v>
      </c>
      <c r="H582" t="str">
        <f>INDEX(Table1[Diagnosis],MATCH(I582,'codeand diagnosis'!$A$2:$A$11,0))</f>
        <v>Dental examination with radiology</v>
      </c>
      <c r="I582" t="s">
        <v>37</v>
      </c>
      <c r="J582" t="str">
        <f>INDEX(Table1[ICD-10 Code],MATCH(Table2[[#This Row],[Treatment]],Table1[Treatment Type],0))</f>
        <v>Z01.2</v>
      </c>
      <c r="K582" t="s">
        <v>28</v>
      </c>
      <c r="L582" t="s">
        <v>38</v>
      </c>
      <c r="M582" t="s">
        <v>61</v>
      </c>
      <c r="N582">
        <f>Table2[[#This Row],[Total Paid]]+Table2[[#This Row],[Due]]</f>
        <v>350</v>
      </c>
      <c r="O582">
        <v>0</v>
      </c>
      <c r="P582">
        <v>150</v>
      </c>
      <c r="Q582">
        <v>200</v>
      </c>
      <c r="R582">
        <v>0</v>
      </c>
      <c r="S582">
        <v>0</v>
      </c>
      <c r="T582">
        <v>350</v>
      </c>
      <c r="U582">
        <v>0</v>
      </c>
      <c r="V582">
        <v>350</v>
      </c>
      <c r="W582" t="s">
        <v>42</v>
      </c>
      <c r="X582" s="6" t="s">
        <v>907</v>
      </c>
    </row>
    <row r="583" spans="1:24" hidden="1" x14ac:dyDescent="0.25">
      <c r="A583" t="s">
        <v>934</v>
      </c>
      <c r="B583" t="s">
        <v>91</v>
      </c>
      <c r="C583" t="s">
        <v>34</v>
      </c>
      <c r="D583">
        <v>37</v>
      </c>
      <c r="E583" t="s">
        <v>935</v>
      </c>
      <c r="F583" t="s">
        <v>60</v>
      </c>
      <c r="G583" t="s">
        <v>26</v>
      </c>
      <c r="H583" t="str">
        <f>INDEX(Table1[Diagnosis],MATCH(I583,'codeand diagnosis'!$A$2:$A$11,0))</f>
        <v>Dental examination with radiology</v>
      </c>
      <c r="I583" t="s">
        <v>37</v>
      </c>
      <c r="J583" t="str">
        <f>INDEX(Table1[ICD-10 Code],MATCH(Table2[[#This Row],[Treatment]],Table1[Treatment Type],0))</f>
        <v>Z01.2</v>
      </c>
      <c r="K583" t="s">
        <v>28</v>
      </c>
      <c r="L583" t="s">
        <v>38</v>
      </c>
      <c r="M583" t="s">
        <v>29</v>
      </c>
      <c r="N583">
        <f>Table2[[#This Row],[Total Paid]]+Table2[[#This Row],[Due]]</f>
        <v>350</v>
      </c>
      <c r="O583">
        <v>0</v>
      </c>
      <c r="P583">
        <v>150</v>
      </c>
      <c r="Q583">
        <v>200</v>
      </c>
      <c r="R583">
        <v>0</v>
      </c>
      <c r="S583">
        <v>0</v>
      </c>
      <c r="T583">
        <v>350</v>
      </c>
      <c r="U583">
        <v>0</v>
      </c>
      <c r="V583">
        <v>350</v>
      </c>
      <c r="W583" t="s">
        <v>47</v>
      </c>
      <c r="X583" s="6" t="s">
        <v>907</v>
      </c>
    </row>
    <row r="584" spans="1:24" hidden="1" x14ac:dyDescent="0.25">
      <c r="A584" t="s">
        <v>936</v>
      </c>
      <c r="B584" t="s">
        <v>520</v>
      </c>
      <c r="C584" t="s">
        <v>34</v>
      </c>
      <c r="D584">
        <v>70</v>
      </c>
      <c r="E584" t="s">
        <v>935</v>
      </c>
      <c r="F584" t="s">
        <v>88</v>
      </c>
      <c r="G584" t="s">
        <v>26</v>
      </c>
      <c r="H584" t="str">
        <f>INDEX(Table1[Diagnosis],MATCH(I584,'codeand diagnosis'!$A$2:$A$11,0))</f>
        <v>Dental examination with radiology</v>
      </c>
      <c r="I584" t="s">
        <v>37</v>
      </c>
      <c r="J584" t="str">
        <f>INDEX(Table1[ICD-10 Code],MATCH(Table2[[#This Row],[Treatment]],Table1[Treatment Type],0))</f>
        <v>Z01.2</v>
      </c>
      <c r="K584" t="s">
        <v>28</v>
      </c>
      <c r="L584" t="s">
        <v>38</v>
      </c>
      <c r="M584" t="s">
        <v>61</v>
      </c>
      <c r="N584">
        <f>Table2[[#This Row],[Total Paid]]+Table2[[#This Row],[Due]]</f>
        <v>350</v>
      </c>
      <c r="O584">
        <v>0</v>
      </c>
      <c r="P584">
        <v>150</v>
      </c>
      <c r="Q584">
        <v>200</v>
      </c>
      <c r="R584">
        <v>0</v>
      </c>
      <c r="S584">
        <v>0</v>
      </c>
      <c r="T584">
        <v>350</v>
      </c>
      <c r="U584">
        <v>0</v>
      </c>
      <c r="V584">
        <v>350</v>
      </c>
      <c r="W584" t="s">
        <v>47</v>
      </c>
      <c r="X584" s="6" t="s">
        <v>907</v>
      </c>
    </row>
    <row r="585" spans="1:24" hidden="1" x14ac:dyDescent="0.25">
      <c r="A585" t="s">
        <v>937</v>
      </c>
      <c r="B585" t="s">
        <v>284</v>
      </c>
      <c r="C585" t="s">
        <v>34</v>
      </c>
      <c r="D585">
        <v>33</v>
      </c>
      <c r="E585" t="s">
        <v>935</v>
      </c>
      <c r="F585" t="s">
        <v>50</v>
      </c>
      <c r="G585" t="s">
        <v>36</v>
      </c>
      <c r="H585" t="str">
        <f>INDEX(Table1[Diagnosis],MATCH(I585,'codeand diagnosis'!$A$2:$A$11,0))</f>
        <v>Dental examination</v>
      </c>
      <c r="I585" t="s">
        <v>45</v>
      </c>
      <c r="J585" t="str">
        <f>INDEX(Table1[ICD-10 Code],MATCH(Table2[[#This Row],[Treatment]],Table1[Treatment Type],0))</f>
        <v>Z01.2</v>
      </c>
      <c r="K585" t="s">
        <v>38</v>
      </c>
      <c r="L585" t="s">
        <v>28</v>
      </c>
      <c r="M585" t="s">
        <v>46</v>
      </c>
      <c r="N585">
        <f>Table2[[#This Row],[Total Paid]]+Table2[[#This Row],[Due]]</f>
        <v>0</v>
      </c>
      <c r="O585">
        <v>0</v>
      </c>
      <c r="P585">
        <v>0</v>
      </c>
      <c r="Q585">
        <v>0</v>
      </c>
      <c r="R585">
        <v>0</v>
      </c>
      <c r="S585">
        <v>0</v>
      </c>
      <c r="T585">
        <v>0</v>
      </c>
      <c r="U585">
        <v>0</v>
      </c>
      <c r="V585">
        <v>0</v>
      </c>
      <c r="W585" t="s">
        <v>42</v>
      </c>
      <c r="X585" s="6" t="s">
        <v>907</v>
      </c>
    </row>
    <row r="586" spans="1:24" hidden="1" x14ac:dyDescent="0.25">
      <c r="A586" t="s">
        <v>938</v>
      </c>
      <c r="B586" t="s">
        <v>59</v>
      </c>
      <c r="C586" t="s">
        <v>34</v>
      </c>
      <c r="D586">
        <v>63</v>
      </c>
      <c r="E586" t="s">
        <v>939</v>
      </c>
      <c r="F586" t="s">
        <v>88</v>
      </c>
      <c r="G586" t="s">
        <v>26</v>
      </c>
      <c r="H586" t="str">
        <f>INDEX(Table1[Diagnosis],MATCH(I586,'codeand diagnosis'!$A$2:$A$11,0))</f>
        <v>Dental examination with radiology</v>
      </c>
      <c r="I586" t="s">
        <v>37</v>
      </c>
      <c r="J586" t="str">
        <f>INDEX(Table1[ICD-10 Code],MATCH(Table2[[#This Row],[Treatment]],Table1[Treatment Type],0))</f>
        <v>Z01.2</v>
      </c>
      <c r="K586" t="s">
        <v>28</v>
      </c>
      <c r="L586" t="s">
        <v>38</v>
      </c>
      <c r="M586" t="s">
        <v>29</v>
      </c>
      <c r="N586">
        <f>Table2[[#This Row],[Total Paid]]+Table2[[#This Row],[Due]]</f>
        <v>350</v>
      </c>
      <c r="O586">
        <v>0</v>
      </c>
      <c r="P586">
        <v>150</v>
      </c>
      <c r="Q586">
        <v>200</v>
      </c>
      <c r="R586">
        <v>0</v>
      </c>
      <c r="S586">
        <v>0</v>
      </c>
      <c r="T586">
        <v>350</v>
      </c>
      <c r="U586">
        <v>0</v>
      </c>
      <c r="V586">
        <v>350</v>
      </c>
      <c r="W586" t="s">
        <v>42</v>
      </c>
      <c r="X586" s="6" t="s">
        <v>907</v>
      </c>
    </row>
    <row r="587" spans="1:24" hidden="1" x14ac:dyDescent="0.25">
      <c r="A587" t="s">
        <v>940</v>
      </c>
      <c r="B587" t="s">
        <v>237</v>
      </c>
      <c r="C587" t="s">
        <v>34</v>
      </c>
      <c r="D587">
        <v>13</v>
      </c>
      <c r="E587" t="s">
        <v>939</v>
      </c>
      <c r="F587" t="s">
        <v>25</v>
      </c>
      <c r="G587" t="s">
        <v>26</v>
      </c>
      <c r="H587" t="str">
        <f>INDEX(Table1[Diagnosis],MATCH(I587,'codeand diagnosis'!$A$2:$A$11,0))</f>
        <v>Malocclusion</v>
      </c>
      <c r="I587" t="s">
        <v>89</v>
      </c>
      <c r="J587" t="str">
        <f>INDEX(Table1[ICD-10 Code],MATCH(Table2[[#This Row],[Treatment]],Table1[Treatment Type],0))</f>
        <v>K07.4</v>
      </c>
      <c r="K587" t="s">
        <v>38</v>
      </c>
      <c r="L587" t="s">
        <v>38</v>
      </c>
      <c r="M587" t="s">
        <v>29</v>
      </c>
      <c r="N587">
        <f>Table2[[#This Row],[Total Paid]]+Table2[[#This Row],[Due]]</f>
        <v>17179</v>
      </c>
      <c r="O587">
        <v>17179</v>
      </c>
      <c r="P587">
        <v>0</v>
      </c>
      <c r="Q587">
        <v>0</v>
      </c>
      <c r="R587">
        <v>3070</v>
      </c>
      <c r="S587">
        <v>0</v>
      </c>
      <c r="T587">
        <v>17179</v>
      </c>
      <c r="U587">
        <v>0</v>
      </c>
      <c r="V587">
        <v>14109</v>
      </c>
      <c r="W587" t="s">
        <v>51</v>
      </c>
      <c r="X587" s="6" t="s">
        <v>907</v>
      </c>
    </row>
    <row r="588" spans="1:24" hidden="1" x14ac:dyDescent="0.25">
      <c r="A588" t="s">
        <v>941</v>
      </c>
      <c r="B588" t="s">
        <v>369</v>
      </c>
      <c r="C588" t="s">
        <v>24</v>
      </c>
      <c r="D588">
        <v>11</v>
      </c>
      <c r="E588" t="s">
        <v>939</v>
      </c>
      <c r="F588" t="s">
        <v>35</v>
      </c>
      <c r="G588" t="s">
        <v>26</v>
      </c>
      <c r="H588" t="str">
        <f>INDEX(Table1[Diagnosis],MATCH(I588,'codeand diagnosis'!$A$2:$A$11,0))</f>
        <v>Malocclusion</v>
      </c>
      <c r="I588" t="s">
        <v>89</v>
      </c>
      <c r="J588" t="str">
        <f>INDEX(Table1[ICD-10 Code],MATCH(Table2[[#This Row],[Treatment]],Table1[Treatment Type],0))</f>
        <v>K07.4</v>
      </c>
      <c r="K588" t="s">
        <v>38</v>
      </c>
      <c r="L588" t="s">
        <v>38</v>
      </c>
      <c r="M588" t="s">
        <v>61</v>
      </c>
      <c r="N588">
        <f>Table2[[#This Row],[Total Paid]]+Table2[[#This Row],[Due]]</f>
        <v>17434</v>
      </c>
      <c r="O588">
        <v>17434</v>
      </c>
      <c r="P588">
        <v>0</v>
      </c>
      <c r="Q588">
        <v>0</v>
      </c>
      <c r="R588">
        <v>4090</v>
      </c>
      <c r="S588">
        <v>0</v>
      </c>
      <c r="T588">
        <v>17434</v>
      </c>
      <c r="U588">
        <v>0</v>
      </c>
      <c r="V588">
        <v>13344</v>
      </c>
      <c r="W588" t="s">
        <v>42</v>
      </c>
      <c r="X588" s="6" t="s">
        <v>907</v>
      </c>
    </row>
    <row r="589" spans="1:24" hidden="1" x14ac:dyDescent="0.25">
      <c r="A589" t="s">
        <v>942</v>
      </c>
      <c r="B589" t="s">
        <v>420</v>
      </c>
      <c r="C589" t="s">
        <v>34</v>
      </c>
      <c r="D589">
        <v>72</v>
      </c>
      <c r="E589" t="s">
        <v>943</v>
      </c>
      <c r="F589" t="s">
        <v>35</v>
      </c>
      <c r="G589" t="s">
        <v>36</v>
      </c>
      <c r="H589" t="str">
        <f>INDEX(Table1[Diagnosis],MATCH(I589,'codeand diagnosis'!$A$2:$A$11,0))</f>
        <v>Dental examination</v>
      </c>
      <c r="I589" t="s">
        <v>45</v>
      </c>
      <c r="J589" t="str">
        <f>INDEX(Table1[ICD-10 Code],MATCH(Table2[[#This Row],[Treatment]],Table1[Treatment Type],0))</f>
        <v>Z01.2</v>
      </c>
      <c r="K589" t="s">
        <v>28</v>
      </c>
      <c r="L589" t="s">
        <v>28</v>
      </c>
      <c r="M589" t="s">
        <v>61</v>
      </c>
      <c r="N589">
        <f>Table2[[#This Row],[Total Paid]]+Table2[[#This Row],[Due]]</f>
        <v>200</v>
      </c>
      <c r="O589">
        <v>0</v>
      </c>
      <c r="P589">
        <v>0</v>
      </c>
      <c r="Q589">
        <v>200</v>
      </c>
      <c r="R589">
        <v>0</v>
      </c>
      <c r="S589">
        <v>0</v>
      </c>
      <c r="T589">
        <v>200</v>
      </c>
      <c r="U589">
        <v>0</v>
      </c>
      <c r="V589">
        <v>200</v>
      </c>
      <c r="W589" t="s">
        <v>47</v>
      </c>
      <c r="X589" s="6" t="s">
        <v>907</v>
      </c>
    </row>
    <row r="590" spans="1:24" hidden="1" x14ac:dyDescent="0.25">
      <c r="A590" t="s">
        <v>944</v>
      </c>
      <c r="B590" t="s">
        <v>290</v>
      </c>
      <c r="C590" t="s">
        <v>34</v>
      </c>
      <c r="D590">
        <v>70</v>
      </c>
      <c r="E590" t="s">
        <v>943</v>
      </c>
      <c r="F590" t="s">
        <v>35</v>
      </c>
      <c r="G590" t="s">
        <v>26</v>
      </c>
      <c r="H590" t="str">
        <f>INDEX(Table1[Diagnosis],MATCH(I590,'codeand diagnosis'!$A$2:$A$11,0))</f>
        <v>Malocclusion</v>
      </c>
      <c r="I590" t="s">
        <v>89</v>
      </c>
      <c r="J590" t="str">
        <f>INDEX(Table1[ICD-10 Code],MATCH(Table2[[#This Row],[Treatment]],Table1[Treatment Type],0))</f>
        <v>K07.4</v>
      </c>
      <c r="K590" t="s">
        <v>38</v>
      </c>
      <c r="L590" t="s">
        <v>38</v>
      </c>
      <c r="M590" t="s">
        <v>29</v>
      </c>
      <c r="N590">
        <f>Table2[[#This Row],[Total Paid]]+Table2[[#This Row],[Due]]</f>
        <v>15462</v>
      </c>
      <c r="O590">
        <v>15462</v>
      </c>
      <c r="P590">
        <v>0</v>
      </c>
      <c r="Q590">
        <v>0</v>
      </c>
      <c r="R590">
        <v>2550</v>
      </c>
      <c r="S590">
        <v>0</v>
      </c>
      <c r="T590">
        <v>12496</v>
      </c>
      <c r="U590">
        <v>2966</v>
      </c>
      <c r="V590">
        <v>9946</v>
      </c>
      <c r="W590" t="s">
        <v>51</v>
      </c>
      <c r="X590" s="6" t="s">
        <v>907</v>
      </c>
    </row>
    <row r="591" spans="1:24" hidden="1" x14ac:dyDescent="0.25">
      <c r="A591" t="s">
        <v>945</v>
      </c>
      <c r="B591" t="s">
        <v>137</v>
      </c>
      <c r="C591" t="s">
        <v>24</v>
      </c>
      <c r="D591">
        <v>8</v>
      </c>
      <c r="E591" t="s">
        <v>946</v>
      </c>
      <c r="F591" t="s">
        <v>50</v>
      </c>
      <c r="G591" t="s">
        <v>26</v>
      </c>
      <c r="H591" t="str">
        <f>INDEX(Table1[Diagnosis],MATCH(I591,'codeand diagnosis'!$A$2:$A$11,0))</f>
        <v>Dental examination with radiology</v>
      </c>
      <c r="I591" t="s">
        <v>37</v>
      </c>
      <c r="J591" t="str">
        <f>INDEX(Table1[ICD-10 Code],MATCH(Table2[[#This Row],[Treatment]],Table1[Treatment Type],0))</f>
        <v>Z01.2</v>
      </c>
      <c r="K591" t="s">
        <v>28</v>
      </c>
      <c r="L591" t="s">
        <v>38</v>
      </c>
      <c r="M591" t="s">
        <v>29</v>
      </c>
      <c r="N591">
        <f>Table2[[#This Row],[Total Paid]]+Table2[[#This Row],[Due]]</f>
        <v>350</v>
      </c>
      <c r="O591">
        <v>0</v>
      </c>
      <c r="P591">
        <v>150</v>
      </c>
      <c r="Q591">
        <v>200</v>
      </c>
      <c r="R591">
        <v>0</v>
      </c>
      <c r="S591">
        <v>0</v>
      </c>
      <c r="T591">
        <v>350</v>
      </c>
      <c r="U591">
        <v>0</v>
      </c>
      <c r="V591">
        <v>350</v>
      </c>
      <c r="W591" t="s">
        <v>42</v>
      </c>
      <c r="X591" s="6" t="s">
        <v>907</v>
      </c>
    </row>
    <row r="592" spans="1:24" hidden="1" x14ac:dyDescent="0.25">
      <c r="A592" t="s">
        <v>947</v>
      </c>
      <c r="B592" t="s">
        <v>180</v>
      </c>
      <c r="C592" t="s">
        <v>24</v>
      </c>
      <c r="D592">
        <v>46</v>
      </c>
      <c r="E592" t="s">
        <v>948</v>
      </c>
      <c r="F592" t="s">
        <v>35</v>
      </c>
      <c r="G592" t="s">
        <v>26</v>
      </c>
      <c r="H592" t="str">
        <f>INDEX(Table1[Diagnosis],MATCH(I592,'codeand diagnosis'!$A$2:$A$11,0))</f>
        <v>Dental examination with radiology</v>
      </c>
      <c r="I592" t="s">
        <v>37</v>
      </c>
      <c r="J592" t="str">
        <f>INDEX(Table1[ICD-10 Code],MATCH(Table2[[#This Row],[Treatment]],Table1[Treatment Type],0))</f>
        <v>Z01.2</v>
      </c>
      <c r="K592" t="s">
        <v>38</v>
      </c>
      <c r="L592" t="s">
        <v>38</v>
      </c>
      <c r="M592" t="s">
        <v>29</v>
      </c>
      <c r="N592">
        <f>Table2[[#This Row],[Total Paid]]+Table2[[#This Row],[Due]]</f>
        <v>90</v>
      </c>
      <c r="O592">
        <v>0</v>
      </c>
      <c r="P592">
        <v>150</v>
      </c>
      <c r="Q592">
        <v>0</v>
      </c>
      <c r="R592">
        <v>0</v>
      </c>
      <c r="S592">
        <v>60</v>
      </c>
      <c r="T592">
        <v>90</v>
      </c>
      <c r="U592">
        <v>0</v>
      </c>
      <c r="V592">
        <v>90</v>
      </c>
      <c r="W592" t="s">
        <v>30</v>
      </c>
      <c r="X592" s="6" t="s">
        <v>907</v>
      </c>
    </row>
    <row r="593" spans="1:24" hidden="1" x14ac:dyDescent="0.25">
      <c r="A593" t="s">
        <v>949</v>
      </c>
      <c r="B593" t="s">
        <v>447</v>
      </c>
      <c r="C593" t="s">
        <v>24</v>
      </c>
      <c r="D593">
        <v>59</v>
      </c>
      <c r="E593" t="s">
        <v>948</v>
      </c>
      <c r="F593" t="s">
        <v>132</v>
      </c>
      <c r="G593" t="s">
        <v>26</v>
      </c>
      <c r="H593" t="str">
        <f>INDEX(Table1[Diagnosis],MATCH(I593,'codeand diagnosis'!$A$2:$A$11,0))</f>
        <v>Dental examination</v>
      </c>
      <c r="I593" t="s">
        <v>45</v>
      </c>
      <c r="J593" t="str">
        <f>INDEX(Table1[ICD-10 Code],MATCH(Table2[[#This Row],[Treatment]],Table1[Treatment Type],0))</f>
        <v>Z01.2</v>
      </c>
      <c r="K593" t="s">
        <v>38</v>
      </c>
      <c r="L593" t="s">
        <v>28</v>
      </c>
      <c r="M593" t="s">
        <v>61</v>
      </c>
      <c r="N593">
        <f>Table2[[#This Row],[Total Paid]]+Table2[[#This Row],[Due]]</f>
        <v>0</v>
      </c>
      <c r="O593">
        <v>0</v>
      </c>
      <c r="P593">
        <v>0</v>
      </c>
      <c r="Q593">
        <v>0</v>
      </c>
      <c r="R593">
        <v>0</v>
      </c>
      <c r="S593">
        <v>0</v>
      </c>
      <c r="T593">
        <v>0</v>
      </c>
      <c r="U593">
        <v>0</v>
      </c>
      <c r="V593">
        <v>0</v>
      </c>
      <c r="W593" t="s">
        <v>51</v>
      </c>
      <c r="X593" s="6" t="s">
        <v>907</v>
      </c>
    </row>
    <row r="594" spans="1:24" hidden="1" x14ac:dyDescent="0.25">
      <c r="A594" t="s">
        <v>950</v>
      </c>
      <c r="B594" t="s">
        <v>284</v>
      </c>
      <c r="C594" t="s">
        <v>34</v>
      </c>
      <c r="D594">
        <v>57</v>
      </c>
      <c r="E594" t="s">
        <v>951</v>
      </c>
      <c r="F594" t="s">
        <v>132</v>
      </c>
      <c r="G594" t="s">
        <v>36</v>
      </c>
      <c r="H594" t="str">
        <f>INDEX(Table1[Diagnosis],MATCH(I594,'codeand diagnosis'!$A$2:$A$11,0))</f>
        <v>Dental examination</v>
      </c>
      <c r="I594" t="s">
        <v>45</v>
      </c>
      <c r="J594" t="str">
        <f>INDEX(Table1[ICD-10 Code],MATCH(Table2[[#This Row],[Treatment]],Table1[Treatment Type],0))</f>
        <v>Z01.2</v>
      </c>
      <c r="K594" t="s">
        <v>38</v>
      </c>
      <c r="L594" t="s">
        <v>28</v>
      </c>
      <c r="M594" t="s">
        <v>29</v>
      </c>
      <c r="N594">
        <f>Table2[[#This Row],[Total Paid]]+Table2[[#This Row],[Due]]</f>
        <v>0</v>
      </c>
      <c r="O594">
        <v>0</v>
      </c>
      <c r="P594">
        <v>0</v>
      </c>
      <c r="Q594">
        <v>0</v>
      </c>
      <c r="R594">
        <v>0</v>
      </c>
      <c r="S594">
        <v>0</v>
      </c>
      <c r="T594">
        <v>0</v>
      </c>
      <c r="U594">
        <v>0</v>
      </c>
      <c r="V594">
        <v>0</v>
      </c>
      <c r="W594" t="s">
        <v>51</v>
      </c>
      <c r="X594" s="6" t="s">
        <v>907</v>
      </c>
    </row>
    <row r="595" spans="1:24" hidden="1" x14ac:dyDescent="0.25">
      <c r="A595" t="s">
        <v>952</v>
      </c>
      <c r="B595" t="s">
        <v>137</v>
      </c>
      <c r="C595" t="s">
        <v>24</v>
      </c>
      <c r="D595">
        <v>39</v>
      </c>
      <c r="E595" s="1">
        <v>45326</v>
      </c>
      <c r="F595" t="s">
        <v>25</v>
      </c>
      <c r="G595" t="s">
        <v>26</v>
      </c>
      <c r="H595" t="str">
        <f>INDEX(Table1[Diagnosis],MATCH(I595,'codeand diagnosis'!$A$2:$A$11,0))</f>
        <v>Gingivitis</v>
      </c>
      <c r="I595" t="s">
        <v>27</v>
      </c>
      <c r="J595" t="str">
        <f>INDEX(Table1[ICD-10 Code],MATCH(Table2[[#This Row],[Treatment]],Table1[Treatment Type],0))</f>
        <v>K05.10</v>
      </c>
      <c r="K595" t="s">
        <v>28</v>
      </c>
      <c r="L595" t="s">
        <v>38</v>
      </c>
      <c r="M595" t="s">
        <v>29</v>
      </c>
      <c r="N595">
        <f>Table2[[#This Row],[Total Paid]]+Table2[[#This Row],[Due]]</f>
        <v>315</v>
      </c>
      <c r="O595">
        <v>525</v>
      </c>
      <c r="P595">
        <v>0</v>
      </c>
      <c r="Q595">
        <v>0</v>
      </c>
      <c r="R595">
        <v>0</v>
      </c>
      <c r="S595">
        <v>210</v>
      </c>
      <c r="T595">
        <v>315</v>
      </c>
      <c r="U595">
        <v>0</v>
      </c>
      <c r="V595">
        <v>315</v>
      </c>
      <c r="W595" t="s">
        <v>47</v>
      </c>
      <c r="X595" s="6" t="s">
        <v>953</v>
      </c>
    </row>
    <row r="596" spans="1:24" hidden="1" x14ac:dyDescent="0.25">
      <c r="A596" t="s">
        <v>954</v>
      </c>
      <c r="B596" t="s">
        <v>182</v>
      </c>
      <c r="C596" t="s">
        <v>24</v>
      </c>
      <c r="D596">
        <v>15</v>
      </c>
      <c r="E596" s="1">
        <v>45326</v>
      </c>
      <c r="F596" t="s">
        <v>35</v>
      </c>
      <c r="G596" t="s">
        <v>36</v>
      </c>
      <c r="H596" t="str">
        <f>INDEX(Table1[Diagnosis],MATCH(I596,'codeand diagnosis'!$A$2:$A$11,0))</f>
        <v>Dental examination with radiology</v>
      </c>
      <c r="I596" t="s">
        <v>37</v>
      </c>
      <c r="J596" t="str">
        <f>INDEX(Table1[ICD-10 Code],MATCH(Table2[[#This Row],[Treatment]],Table1[Treatment Type],0))</f>
        <v>Z01.2</v>
      </c>
      <c r="K596" t="s">
        <v>28</v>
      </c>
      <c r="L596" t="s">
        <v>38</v>
      </c>
      <c r="M596" t="s">
        <v>29</v>
      </c>
      <c r="N596">
        <f>Table2[[#This Row],[Total Paid]]+Table2[[#This Row],[Due]]</f>
        <v>350</v>
      </c>
      <c r="O596">
        <v>0</v>
      </c>
      <c r="P596">
        <v>150</v>
      </c>
      <c r="Q596">
        <v>200</v>
      </c>
      <c r="R596">
        <v>0</v>
      </c>
      <c r="S596">
        <v>0</v>
      </c>
      <c r="T596">
        <v>350</v>
      </c>
      <c r="U596">
        <v>0</v>
      </c>
      <c r="V596">
        <v>350</v>
      </c>
      <c r="W596" t="s">
        <v>42</v>
      </c>
      <c r="X596" s="6" t="s">
        <v>953</v>
      </c>
    </row>
    <row r="597" spans="1:24" hidden="1" x14ac:dyDescent="0.25">
      <c r="A597" t="s">
        <v>955</v>
      </c>
      <c r="B597" t="s">
        <v>232</v>
      </c>
      <c r="C597" t="s">
        <v>24</v>
      </c>
      <c r="D597">
        <v>54</v>
      </c>
      <c r="E597" s="1">
        <v>45355</v>
      </c>
      <c r="F597" t="s">
        <v>50</v>
      </c>
      <c r="G597" t="s">
        <v>26</v>
      </c>
      <c r="H597" t="str">
        <f>INDEX(Table1[Diagnosis],MATCH(I597,'codeand diagnosis'!$A$2:$A$11,0))</f>
        <v>Dental examination</v>
      </c>
      <c r="I597" t="s">
        <v>45</v>
      </c>
      <c r="J597" t="str">
        <f>INDEX(Table1[ICD-10 Code],MATCH(Table2[[#This Row],[Treatment]],Table1[Treatment Type],0))</f>
        <v>Z01.2</v>
      </c>
      <c r="K597" t="s">
        <v>28</v>
      </c>
      <c r="L597" t="s">
        <v>28</v>
      </c>
      <c r="M597" t="s">
        <v>29</v>
      </c>
      <c r="N597">
        <f>Table2[[#This Row],[Total Paid]]+Table2[[#This Row],[Due]]</f>
        <v>120</v>
      </c>
      <c r="O597">
        <v>0</v>
      </c>
      <c r="P597">
        <v>0</v>
      </c>
      <c r="Q597">
        <v>200</v>
      </c>
      <c r="R597">
        <v>0</v>
      </c>
      <c r="S597">
        <v>80</v>
      </c>
      <c r="T597">
        <v>120</v>
      </c>
      <c r="U597">
        <v>0</v>
      </c>
      <c r="V597">
        <v>120</v>
      </c>
      <c r="W597" t="s">
        <v>42</v>
      </c>
      <c r="X597" s="6" t="s">
        <v>953</v>
      </c>
    </row>
    <row r="598" spans="1:24" hidden="1" x14ac:dyDescent="0.25">
      <c r="A598" t="s">
        <v>956</v>
      </c>
      <c r="B598" t="s">
        <v>296</v>
      </c>
      <c r="C598" t="s">
        <v>24</v>
      </c>
      <c r="D598">
        <v>59</v>
      </c>
      <c r="E598" s="1">
        <v>45355</v>
      </c>
      <c r="F598" t="s">
        <v>54</v>
      </c>
      <c r="G598" t="s">
        <v>36</v>
      </c>
      <c r="H598" t="str">
        <f>INDEX(Table1[Diagnosis],MATCH(I598,'codeand diagnosis'!$A$2:$A$11,0))</f>
        <v>Dental examination</v>
      </c>
      <c r="I598" t="s">
        <v>45</v>
      </c>
      <c r="J598" t="str">
        <f>INDEX(Table1[ICD-10 Code],MATCH(Table2[[#This Row],[Treatment]],Table1[Treatment Type],0))</f>
        <v>Z01.2</v>
      </c>
      <c r="K598" t="s">
        <v>28</v>
      </c>
      <c r="L598" t="s">
        <v>28</v>
      </c>
      <c r="M598" t="s">
        <v>29</v>
      </c>
      <c r="N598">
        <f>Table2[[#This Row],[Total Paid]]+Table2[[#This Row],[Due]]</f>
        <v>120</v>
      </c>
      <c r="O598">
        <v>0</v>
      </c>
      <c r="P598">
        <v>0</v>
      </c>
      <c r="Q598">
        <v>200</v>
      </c>
      <c r="R598">
        <v>0</v>
      </c>
      <c r="S598">
        <v>80</v>
      </c>
      <c r="T598">
        <v>120</v>
      </c>
      <c r="U598">
        <v>0</v>
      </c>
      <c r="V598">
        <v>120</v>
      </c>
      <c r="W598" t="s">
        <v>42</v>
      </c>
      <c r="X598" s="6" t="s">
        <v>953</v>
      </c>
    </row>
    <row r="599" spans="1:24" hidden="1" x14ac:dyDescent="0.25">
      <c r="A599" t="s">
        <v>957</v>
      </c>
      <c r="B599" t="s">
        <v>103</v>
      </c>
      <c r="C599" t="s">
        <v>34</v>
      </c>
      <c r="D599">
        <v>55</v>
      </c>
      <c r="E599" s="1">
        <v>45386</v>
      </c>
      <c r="F599" t="s">
        <v>88</v>
      </c>
      <c r="G599" t="s">
        <v>26</v>
      </c>
      <c r="H599" t="str">
        <f>INDEX(Table1[Diagnosis],MATCH(I599,'codeand diagnosis'!$A$2:$A$11,0))</f>
        <v>Dental examination with radiology</v>
      </c>
      <c r="I599" t="s">
        <v>37</v>
      </c>
      <c r="J599" t="str">
        <f>INDEX(Table1[ICD-10 Code],MATCH(Table2[[#This Row],[Treatment]],Table1[Treatment Type],0))</f>
        <v>Z01.2</v>
      </c>
      <c r="K599" t="s">
        <v>38</v>
      </c>
      <c r="L599" t="s">
        <v>38</v>
      </c>
      <c r="M599" t="s">
        <v>29</v>
      </c>
      <c r="N599">
        <f>Table2[[#This Row],[Total Paid]]+Table2[[#This Row],[Due]]</f>
        <v>150</v>
      </c>
      <c r="O599">
        <v>0</v>
      </c>
      <c r="P599">
        <v>150</v>
      </c>
      <c r="Q599">
        <v>0</v>
      </c>
      <c r="R599">
        <v>0</v>
      </c>
      <c r="S599">
        <v>0</v>
      </c>
      <c r="T599">
        <v>150</v>
      </c>
      <c r="U599">
        <v>0</v>
      </c>
      <c r="V599">
        <v>150</v>
      </c>
      <c r="W599" t="s">
        <v>42</v>
      </c>
      <c r="X599" s="6" t="s">
        <v>953</v>
      </c>
    </row>
    <row r="600" spans="1:24" hidden="1" x14ac:dyDescent="0.25">
      <c r="A600" t="s">
        <v>958</v>
      </c>
      <c r="B600" t="s">
        <v>156</v>
      </c>
      <c r="C600" t="s">
        <v>24</v>
      </c>
      <c r="D600">
        <v>22</v>
      </c>
      <c r="E600" s="1">
        <v>45416</v>
      </c>
      <c r="F600" t="s">
        <v>92</v>
      </c>
      <c r="G600" t="s">
        <v>26</v>
      </c>
      <c r="H600" t="str">
        <f>INDEX(Table1[Diagnosis],MATCH(I600,'codeand diagnosis'!$A$2:$A$11,0))</f>
        <v>Dental examination with radiology</v>
      </c>
      <c r="I600" t="s">
        <v>37</v>
      </c>
      <c r="J600" t="str">
        <f>INDEX(Table1[ICD-10 Code],MATCH(Table2[[#This Row],[Treatment]],Table1[Treatment Type],0))</f>
        <v>Z01.2</v>
      </c>
      <c r="K600" t="s">
        <v>38</v>
      </c>
      <c r="L600" t="s">
        <v>38</v>
      </c>
      <c r="M600" t="s">
        <v>29</v>
      </c>
      <c r="N600">
        <f>Table2[[#This Row],[Total Paid]]+Table2[[#This Row],[Due]]</f>
        <v>150</v>
      </c>
      <c r="O600">
        <v>0</v>
      </c>
      <c r="P600">
        <v>150</v>
      </c>
      <c r="Q600">
        <v>0</v>
      </c>
      <c r="R600">
        <v>0</v>
      </c>
      <c r="S600">
        <v>0</v>
      </c>
      <c r="T600">
        <v>150</v>
      </c>
      <c r="U600">
        <v>0</v>
      </c>
      <c r="V600">
        <v>150</v>
      </c>
      <c r="W600" t="s">
        <v>42</v>
      </c>
      <c r="X600" s="6" t="s">
        <v>953</v>
      </c>
    </row>
    <row r="601" spans="1:24" hidden="1" x14ac:dyDescent="0.25">
      <c r="A601" t="s">
        <v>959</v>
      </c>
      <c r="B601" t="s">
        <v>211</v>
      </c>
      <c r="C601" t="s">
        <v>34</v>
      </c>
      <c r="D601">
        <v>76</v>
      </c>
      <c r="E601" s="1">
        <v>45508</v>
      </c>
      <c r="F601" t="s">
        <v>132</v>
      </c>
      <c r="G601" t="s">
        <v>36</v>
      </c>
      <c r="H601" t="str">
        <f>INDEX(Table1[Diagnosis],MATCH(I601,'codeand diagnosis'!$A$2:$A$11,0))</f>
        <v>Retained dental root</v>
      </c>
      <c r="I601" t="s">
        <v>145</v>
      </c>
      <c r="J601" t="str">
        <f>INDEX(Table1[ICD-10 Code],MATCH(Table2[[#This Row],[Treatment]],Table1[Treatment Type],0))</f>
        <v>K08.3</v>
      </c>
      <c r="K601" t="s">
        <v>28</v>
      </c>
      <c r="L601" t="s">
        <v>38</v>
      </c>
      <c r="M601" t="s">
        <v>46</v>
      </c>
      <c r="N601">
        <f>Table2[[#This Row],[Total Paid]]+Table2[[#This Row],[Due]]</f>
        <v>2328</v>
      </c>
      <c r="O601">
        <v>2328</v>
      </c>
      <c r="P601">
        <v>0</v>
      </c>
      <c r="Q601">
        <v>0</v>
      </c>
      <c r="R601">
        <v>700</v>
      </c>
      <c r="S601">
        <v>0</v>
      </c>
      <c r="T601">
        <v>2328</v>
      </c>
      <c r="U601">
        <v>0</v>
      </c>
      <c r="V601">
        <v>1628</v>
      </c>
      <c r="W601" t="s">
        <v>51</v>
      </c>
      <c r="X601" s="6" t="s">
        <v>953</v>
      </c>
    </row>
    <row r="602" spans="1:24" hidden="1" x14ac:dyDescent="0.25">
      <c r="A602" t="s">
        <v>960</v>
      </c>
      <c r="B602" t="s">
        <v>91</v>
      </c>
      <c r="C602" t="s">
        <v>34</v>
      </c>
      <c r="D602">
        <v>69</v>
      </c>
      <c r="E602" s="1">
        <v>45539</v>
      </c>
      <c r="F602" t="s">
        <v>35</v>
      </c>
      <c r="G602" t="s">
        <v>26</v>
      </c>
      <c r="H602" t="str">
        <f>INDEX(Table1[Diagnosis],MATCH(I602,'codeand diagnosis'!$A$2:$A$11,0))</f>
        <v>Dental examination with radiology</v>
      </c>
      <c r="I602" t="s">
        <v>37</v>
      </c>
      <c r="J602" t="str">
        <f>INDEX(Table1[ICD-10 Code],MATCH(Table2[[#This Row],[Treatment]],Table1[Treatment Type],0))</f>
        <v>Z01.2</v>
      </c>
      <c r="K602" t="s">
        <v>28</v>
      </c>
      <c r="L602" t="s">
        <v>38</v>
      </c>
      <c r="M602" t="s">
        <v>46</v>
      </c>
      <c r="N602">
        <f>Table2[[#This Row],[Total Paid]]+Table2[[#This Row],[Due]]</f>
        <v>250</v>
      </c>
      <c r="O602">
        <v>0</v>
      </c>
      <c r="P602">
        <v>150</v>
      </c>
      <c r="Q602">
        <v>200</v>
      </c>
      <c r="R602">
        <v>0</v>
      </c>
      <c r="S602">
        <v>100</v>
      </c>
      <c r="T602">
        <v>250</v>
      </c>
      <c r="U602">
        <v>0</v>
      </c>
      <c r="V602">
        <v>250</v>
      </c>
      <c r="W602" t="s">
        <v>42</v>
      </c>
      <c r="X602" s="6" t="s">
        <v>953</v>
      </c>
    </row>
    <row r="603" spans="1:24" hidden="1" x14ac:dyDescent="0.25">
      <c r="A603" t="s">
        <v>961</v>
      </c>
      <c r="B603" t="s">
        <v>144</v>
      </c>
      <c r="C603" t="s">
        <v>24</v>
      </c>
      <c r="D603">
        <v>29</v>
      </c>
      <c r="E603" s="1">
        <v>45569</v>
      </c>
      <c r="F603" t="s">
        <v>88</v>
      </c>
      <c r="G603" t="s">
        <v>36</v>
      </c>
      <c r="H603" t="str">
        <f>INDEX(Table1[Diagnosis],MATCH(I603,'codeand diagnosis'!$A$2:$A$11,0))</f>
        <v>Gingivitis</v>
      </c>
      <c r="I603" t="s">
        <v>27</v>
      </c>
      <c r="J603" t="str">
        <f>INDEX(Table1[ICD-10 Code],MATCH(Table2[[#This Row],[Treatment]],Table1[Treatment Type],0))</f>
        <v>K05.10</v>
      </c>
      <c r="K603" t="s">
        <v>28</v>
      </c>
      <c r="L603" t="s">
        <v>38</v>
      </c>
      <c r="M603" t="s">
        <v>29</v>
      </c>
      <c r="N603">
        <f>Table2[[#This Row],[Total Paid]]+Table2[[#This Row],[Due]]</f>
        <v>677</v>
      </c>
      <c r="O603">
        <v>677</v>
      </c>
      <c r="P603">
        <v>0</v>
      </c>
      <c r="Q603">
        <v>0</v>
      </c>
      <c r="R603">
        <v>0</v>
      </c>
      <c r="S603">
        <v>0</v>
      </c>
      <c r="T603">
        <v>677</v>
      </c>
      <c r="U603">
        <v>0</v>
      </c>
      <c r="V603">
        <v>677</v>
      </c>
      <c r="W603" t="s">
        <v>47</v>
      </c>
      <c r="X603" s="6" t="s">
        <v>953</v>
      </c>
    </row>
    <row r="604" spans="1:24" hidden="1" x14ac:dyDescent="0.25">
      <c r="A604" t="s">
        <v>962</v>
      </c>
      <c r="B604" t="s">
        <v>82</v>
      </c>
      <c r="C604" t="s">
        <v>24</v>
      </c>
      <c r="D604">
        <v>24</v>
      </c>
      <c r="E604" s="1">
        <v>45569</v>
      </c>
      <c r="F604" t="s">
        <v>104</v>
      </c>
      <c r="G604" t="s">
        <v>26</v>
      </c>
      <c r="H604" t="str">
        <f>INDEX(Table1[Diagnosis],MATCH(I604,'codeand diagnosis'!$A$2:$A$11,0))</f>
        <v>Gingivitis</v>
      </c>
      <c r="I604" t="s">
        <v>27</v>
      </c>
      <c r="J604" t="str">
        <f>INDEX(Table1[ICD-10 Code],MATCH(Table2[[#This Row],[Treatment]],Table1[Treatment Type],0))</f>
        <v>K05.10</v>
      </c>
      <c r="K604" t="s">
        <v>28</v>
      </c>
      <c r="L604" t="s">
        <v>28</v>
      </c>
      <c r="M604" t="s">
        <v>29</v>
      </c>
      <c r="N604">
        <f>Table2[[#This Row],[Total Paid]]+Table2[[#This Row],[Due]]</f>
        <v>417.6</v>
      </c>
      <c r="O604">
        <v>696</v>
      </c>
      <c r="P604">
        <v>0</v>
      </c>
      <c r="Q604">
        <v>0</v>
      </c>
      <c r="R604">
        <v>0</v>
      </c>
      <c r="S604">
        <v>278.39999999999998</v>
      </c>
      <c r="T604">
        <v>417.6</v>
      </c>
      <c r="U604">
        <v>0</v>
      </c>
      <c r="V604">
        <v>417.6</v>
      </c>
      <c r="W604" t="s">
        <v>51</v>
      </c>
      <c r="X604" s="6" t="s">
        <v>953</v>
      </c>
    </row>
    <row r="605" spans="1:24" hidden="1" x14ac:dyDescent="0.25">
      <c r="A605" t="s">
        <v>963</v>
      </c>
      <c r="B605" t="s">
        <v>365</v>
      </c>
      <c r="C605" t="s">
        <v>24</v>
      </c>
      <c r="D605">
        <v>17</v>
      </c>
      <c r="E605" s="1">
        <v>45600</v>
      </c>
      <c r="F605" t="s">
        <v>35</v>
      </c>
      <c r="G605" t="s">
        <v>36</v>
      </c>
      <c r="H605" t="str">
        <f>INDEX(Table1[Diagnosis],MATCH(I605,'codeand diagnosis'!$A$2:$A$11,0))</f>
        <v>Gingivitis</v>
      </c>
      <c r="I605" t="s">
        <v>27</v>
      </c>
      <c r="J605" t="str">
        <f>INDEX(Table1[ICD-10 Code],MATCH(Table2[[#This Row],[Treatment]],Table1[Treatment Type],0))</f>
        <v>K05.10</v>
      </c>
      <c r="K605" t="s">
        <v>28</v>
      </c>
      <c r="L605" t="s">
        <v>38</v>
      </c>
      <c r="M605" t="s">
        <v>29</v>
      </c>
      <c r="N605">
        <f>Table2[[#This Row],[Total Paid]]+Table2[[#This Row],[Due]]</f>
        <v>536</v>
      </c>
      <c r="O605">
        <v>536</v>
      </c>
      <c r="P605">
        <v>0</v>
      </c>
      <c r="Q605">
        <v>0</v>
      </c>
      <c r="R605">
        <v>0</v>
      </c>
      <c r="S605">
        <v>0</v>
      </c>
      <c r="T605">
        <v>536</v>
      </c>
      <c r="U605">
        <v>0</v>
      </c>
      <c r="V605">
        <v>536</v>
      </c>
      <c r="W605" t="s">
        <v>51</v>
      </c>
      <c r="X605" s="6" t="s">
        <v>953</v>
      </c>
    </row>
    <row r="606" spans="1:24" hidden="1" x14ac:dyDescent="0.25">
      <c r="A606" t="s">
        <v>964</v>
      </c>
      <c r="B606" t="s">
        <v>109</v>
      </c>
      <c r="C606" t="s">
        <v>34</v>
      </c>
      <c r="D606">
        <v>31</v>
      </c>
      <c r="E606" s="1">
        <v>45630</v>
      </c>
      <c r="F606" t="s">
        <v>88</v>
      </c>
      <c r="G606" t="s">
        <v>26</v>
      </c>
      <c r="H606" t="str">
        <f>INDEX(Table1[Diagnosis],MATCH(I606,'codeand diagnosis'!$A$2:$A$11,0))</f>
        <v>Cosmetic procedure</v>
      </c>
      <c r="I606" t="s">
        <v>55</v>
      </c>
      <c r="J606" t="str">
        <f>INDEX(Table1[ICD-10 Code],MATCH(Table2[[#This Row],[Treatment]],Table1[Treatment Type],0))</f>
        <v>Z41.1</v>
      </c>
      <c r="K606" t="s">
        <v>28</v>
      </c>
      <c r="L606" t="s">
        <v>38</v>
      </c>
      <c r="M606" t="s">
        <v>46</v>
      </c>
      <c r="N606">
        <f>Table2[[#This Row],[Total Paid]]+Table2[[#This Row],[Due]]</f>
        <v>1567</v>
      </c>
      <c r="O606">
        <v>1567</v>
      </c>
      <c r="P606">
        <v>0</v>
      </c>
      <c r="Q606">
        <v>0</v>
      </c>
      <c r="R606">
        <v>0</v>
      </c>
      <c r="S606">
        <v>0</v>
      </c>
      <c r="T606">
        <v>1287</v>
      </c>
      <c r="U606">
        <v>280</v>
      </c>
      <c r="V606">
        <v>1287</v>
      </c>
      <c r="W606" t="s">
        <v>30</v>
      </c>
      <c r="X606" s="6" t="s">
        <v>953</v>
      </c>
    </row>
    <row r="607" spans="1:24" hidden="1" x14ac:dyDescent="0.25">
      <c r="A607" t="s">
        <v>965</v>
      </c>
      <c r="B607" t="s">
        <v>314</v>
      </c>
      <c r="C607" t="s">
        <v>24</v>
      </c>
      <c r="D607">
        <v>73</v>
      </c>
      <c r="E607" s="1">
        <v>45630</v>
      </c>
      <c r="F607" t="s">
        <v>50</v>
      </c>
      <c r="G607" t="s">
        <v>26</v>
      </c>
      <c r="H607" t="str">
        <f>INDEX(Table1[Diagnosis],MATCH(I607,'codeand diagnosis'!$A$2:$A$11,0))</f>
        <v>Dental examination</v>
      </c>
      <c r="I607" t="s">
        <v>45</v>
      </c>
      <c r="J607" t="str">
        <f>INDEX(Table1[ICD-10 Code],MATCH(Table2[[#This Row],[Treatment]],Table1[Treatment Type],0))</f>
        <v>Z01.2</v>
      </c>
      <c r="K607" t="s">
        <v>38</v>
      </c>
      <c r="L607" t="s">
        <v>28</v>
      </c>
      <c r="M607" t="s">
        <v>29</v>
      </c>
      <c r="N607">
        <f>Table2[[#This Row],[Total Paid]]+Table2[[#This Row],[Due]]</f>
        <v>0</v>
      </c>
      <c r="O607">
        <v>0</v>
      </c>
      <c r="P607">
        <v>0</v>
      </c>
      <c r="Q607">
        <v>0</v>
      </c>
      <c r="R607">
        <v>0</v>
      </c>
      <c r="S607">
        <v>0</v>
      </c>
      <c r="T607">
        <v>0</v>
      </c>
      <c r="U607">
        <v>0</v>
      </c>
      <c r="V607">
        <v>0</v>
      </c>
      <c r="W607" t="s">
        <v>51</v>
      </c>
      <c r="X607" s="6" t="s">
        <v>953</v>
      </c>
    </row>
    <row r="608" spans="1:24" hidden="1" x14ac:dyDescent="0.25">
      <c r="A608" t="s">
        <v>966</v>
      </c>
      <c r="B608" t="s">
        <v>70</v>
      </c>
      <c r="C608" t="s">
        <v>24</v>
      </c>
      <c r="D608">
        <v>53</v>
      </c>
      <c r="E608" t="s">
        <v>967</v>
      </c>
      <c r="F608" t="s">
        <v>25</v>
      </c>
      <c r="G608" t="s">
        <v>36</v>
      </c>
      <c r="H608" t="str">
        <f>INDEX(Table1[Diagnosis],MATCH(I608,'codeand diagnosis'!$A$2:$A$11,0))</f>
        <v>Dental examination</v>
      </c>
      <c r="I608" t="s">
        <v>45</v>
      </c>
      <c r="J608" t="str">
        <f>INDEX(Table1[ICD-10 Code],MATCH(Table2[[#This Row],[Treatment]],Table1[Treatment Type],0))</f>
        <v>Z01.2</v>
      </c>
      <c r="K608" t="s">
        <v>38</v>
      </c>
      <c r="L608" t="s">
        <v>28</v>
      </c>
      <c r="M608" t="s">
        <v>29</v>
      </c>
      <c r="N608">
        <f>Table2[[#This Row],[Total Paid]]+Table2[[#This Row],[Due]]</f>
        <v>0</v>
      </c>
      <c r="O608">
        <v>0</v>
      </c>
      <c r="P608">
        <v>0</v>
      </c>
      <c r="Q608">
        <v>0</v>
      </c>
      <c r="R608">
        <v>0</v>
      </c>
      <c r="S608">
        <v>0</v>
      </c>
      <c r="T608">
        <v>0</v>
      </c>
      <c r="U608">
        <v>0</v>
      </c>
      <c r="V608">
        <v>0</v>
      </c>
      <c r="W608" t="s">
        <v>47</v>
      </c>
      <c r="X608" s="6" t="s">
        <v>953</v>
      </c>
    </row>
    <row r="609" spans="1:24" hidden="1" x14ac:dyDescent="0.25">
      <c r="A609" t="s">
        <v>968</v>
      </c>
      <c r="B609" t="s">
        <v>184</v>
      </c>
      <c r="C609" t="s">
        <v>34</v>
      </c>
      <c r="D609">
        <v>17</v>
      </c>
      <c r="E609" t="s">
        <v>969</v>
      </c>
      <c r="F609" t="s">
        <v>88</v>
      </c>
      <c r="G609" t="s">
        <v>36</v>
      </c>
      <c r="H609" t="str">
        <f>INDEX(Table1[Diagnosis],MATCH(I609,'codeand diagnosis'!$A$2:$A$11,0))</f>
        <v>Dental examination</v>
      </c>
      <c r="I609" t="s">
        <v>45</v>
      </c>
      <c r="J609" t="str">
        <f>INDEX(Table1[ICD-10 Code],MATCH(Table2[[#This Row],[Treatment]],Table1[Treatment Type],0))</f>
        <v>Z01.2</v>
      </c>
      <c r="K609" t="s">
        <v>28</v>
      </c>
      <c r="L609" t="s">
        <v>28</v>
      </c>
      <c r="M609" t="s">
        <v>29</v>
      </c>
      <c r="N609">
        <f>Table2[[#This Row],[Total Paid]]+Table2[[#This Row],[Due]]</f>
        <v>200</v>
      </c>
      <c r="O609">
        <v>0</v>
      </c>
      <c r="P609">
        <v>0</v>
      </c>
      <c r="Q609">
        <v>200</v>
      </c>
      <c r="R609">
        <v>0</v>
      </c>
      <c r="S609">
        <v>0</v>
      </c>
      <c r="T609">
        <v>200</v>
      </c>
      <c r="U609">
        <v>0</v>
      </c>
      <c r="V609">
        <v>200</v>
      </c>
      <c r="W609" t="s">
        <v>51</v>
      </c>
      <c r="X609" s="6" t="s">
        <v>953</v>
      </c>
    </row>
    <row r="610" spans="1:24" hidden="1" x14ac:dyDescent="0.25">
      <c r="A610" t="s">
        <v>970</v>
      </c>
      <c r="B610" t="s">
        <v>182</v>
      </c>
      <c r="C610" t="s">
        <v>24</v>
      </c>
      <c r="D610">
        <v>57</v>
      </c>
      <c r="E610" t="s">
        <v>969</v>
      </c>
      <c r="F610" t="s">
        <v>50</v>
      </c>
      <c r="G610" t="s">
        <v>26</v>
      </c>
      <c r="H610" t="str">
        <f>INDEX(Table1[Diagnosis],MATCH(I610,'codeand diagnosis'!$A$2:$A$11,0))</f>
        <v>Dental examination with radiology</v>
      </c>
      <c r="I610" t="s">
        <v>37</v>
      </c>
      <c r="J610" t="str">
        <f>INDEX(Table1[ICD-10 Code],MATCH(Table2[[#This Row],[Treatment]],Table1[Treatment Type],0))</f>
        <v>Z01.2</v>
      </c>
      <c r="K610" t="s">
        <v>28</v>
      </c>
      <c r="L610" t="s">
        <v>38</v>
      </c>
      <c r="M610" t="s">
        <v>29</v>
      </c>
      <c r="N610">
        <f>Table2[[#This Row],[Total Paid]]+Table2[[#This Row],[Due]]</f>
        <v>350</v>
      </c>
      <c r="O610">
        <v>0</v>
      </c>
      <c r="P610">
        <v>150</v>
      </c>
      <c r="Q610">
        <v>200</v>
      </c>
      <c r="R610">
        <v>0</v>
      </c>
      <c r="S610">
        <v>0</v>
      </c>
      <c r="T610">
        <v>350</v>
      </c>
      <c r="U610">
        <v>0</v>
      </c>
      <c r="V610">
        <v>350</v>
      </c>
      <c r="W610" t="s">
        <v>51</v>
      </c>
      <c r="X610" s="6" t="s">
        <v>953</v>
      </c>
    </row>
    <row r="611" spans="1:24" hidden="1" x14ac:dyDescent="0.25">
      <c r="A611" t="s">
        <v>971</v>
      </c>
      <c r="B611" t="s">
        <v>77</v>
      </c>
      <c r="C611" t="s">
        <v>34</v>
      </c>
      <c r="D611">
        <v>15</v>
      </c>
      <c r="E611" t="s">
        <v>972</v>
      </c>
      <c r="F611" t="s">
        <v>266</v>
      </c>
      <c r="G611" t="s">
        <v>36</v>
      </c>
      <c r="H611" t="str">
        <f>INDEX(Table1[Diagnosis],MATCH(I611,'codeand diagnosis'!$A$2:$A$11,0))</f>
        <v>Dental examination with radiology</v>
      </c>
      <c r="I611" t="s">
        <v>37</v>
      </c>
      <c r="J611" t="str">
        <f>INDEX(Table1[ICD-10 Code],MATCH(Table2[[#This Row],[Treatment]],Table1[Treatment Type],0))</f>
        <v>Z01.2</v>
      </c>
      <c r="K611" t="s">
        <v>28</v>
      </c>
      <c r="L611" t="s">
        <v>38</v>
      </c>
      <c r="M611" t="s">
        <v>29</v>
      </c>
      <c r="N611">
        <f>Table2[[#This Row],[Total Paid]]+Table2[[#This Row],[Due]]</f>
        <v>210</v>
      </c>
      <c r="O611">
        <v>0</v>
      </c>
      <c r="P611">
        <v>150</v>
      </c>
      <c r="Q611">
        <v>200</v>
      </c>
      <c r="R611">
        <v>0</v>
      </c>
      <c r="S611">
        <v>140</v>
      </c>
      <c r="T611">
        <v>210</v>
      </c>
      <c r="U611">
        <v>0</v>
      </c>
      <c r="V611">
        <v>210</v>
      </c>
      <c r="W611" t="s">
        <v>47</v>
      </c>
      <c r="X611" s="6" t="s">
        <v>953</v>
      </c>
    </row>
    <row r="612" spans="1:24" hidden="1" x14ac:dyDescent="0.25">
      <c r="A612" t="s">
        <v>973</v>
      </c>
      <c r="B612" t="s">
        <v>284</v>
      </c>
      <c r="C612" t="s">
        <v>34</v>
      </c>
      <c r="D612">
        <v>10</v>
      </c>
      <c r="E612" t="s">
        <v>974</v>
      </c>
      <c r="F612" t="s">
        <v>50</v>
      </c>
      <c r="G612" t="s">
        <v>36</v>
      </c>
      <c r="H612" t="str">
        <f>INDEX(Table1[Diagnosis],MATCH(I612,'codeand diagnosis'!$A$2:$A$11,0))</f>
        <v>Dental examination with radiology</v>
      </c>
      <c r="I612" t="s">
        <v>37</v>
      </c>
      <c r="J612" t="str">
        <f>INDEX(Table1[ICD-10 Code],MATCH(Table2[[#This Row],[Treatment]],Table1[Treatment Type],0))</f>
        <v>Z01.2</v>
      </c>
      <c r="K612" t="s">
        <v>28</v>
      </c>
      <c r="L612" t="s">
        <v>38</v>
      </c>
      <c r="M612" t="s">
        <v>29</v>
      </c>
      <c r="N612">
        <f>Table2[[#This Row],[Total Paid]]+Table2[[#This Row],[Due]]</f>
        <v>350</v>
      </c>
      <c r="O612">
        <v>0</v>
      </c>
      <c r="P612">
        <v>150</v>
      </c>
      <c r="Q612">
        <v>200</v>
      </c>
      <c r="R612">
        <v>0</v>
      </c>
      <c r="S612">
        <v>0</v>
      </c>
      <c r="T612">
        <v>350</v>
      </c>
      <c r="U612">
        <v>0</v>
      </c>
      <c r="V612">
        <v>350</v>
      </c>
      <c r="W612" t="s">
        <v>42</v>
      </c>
      <c r="X612" s="6" t="s">
        <v>953</v>
      </c>
    </row>
    <row r="613" spans="1:24" hidden="1" x14ac:dyDescent="0.25">
      <c r="A613" t="s">
        <v>975</v>
      </c>
      <c r="B613" t="s">
        <v>374</v>
      </c>
      <c r="C613" t="s">
        <v>34</v>
      </c>
      <c r="D613">
        <v>27</v>
      </c>
      <c r="E613" t="s">
        <v>976</v>
      </c>
      <c r="F613" t="s">
        <v>35</v>
      </c>
      <c r="G613" t="s">
        <v>26</v>
      </c>
      <c r="H613" t="str">
        <f>INDEX(Table1[Diagnosis],MATCH(I613,'codeand diagnosis'!$A$2:$A$11,0))</f>
        <v>Dental examination</v>
      </c>
      <c r="I613" t="s">
        <v>45</v>
      </c>
      <c r="J613" t="str">
        <f>INDEX(Table1[ICD-10 Code],MATCH(Table2[[#This Row],[Treatment]],Table1[Treatment Type],0))</f>
        <v>Z01.2</v>
      </c>
      <c r="K613" t="s">
        <v>28</v>
      </c>
      <c r="L613" t="s">
        <v>28</v>
      </c>
      <c r="M613" t="s">
        <v>29</v>
      </c>
      <c r="N613">
        <f>Table2[[#This Row],[Total Paid]]+Table2[[#This Row],[Due]]</f>
        <v>200</v>
      </c>
      <c r="O613">
        <v>0</v>
      </c>
      <c r="P613">
        <v>0</v>
      </c>
      <c r="Q613">
        <v>200</v>
      </c>
      <c r="R613">
        <v>0</v>
      </c>
      <c r="S613">
        <v>0</v>
      </c>
      <c r="T613">
        <v>200</v>
      </c>
      <c r="U613">
        <v>0</v>
      </c>
      <c r="V613">
        <v>200</v>
      </c>
      <c r="W613" t="s">
        <v>42</v>
      </c>
      <c r="X613" s="6" t="s">
        <v>953</v>
      </c>
    </row>
    <row r="614" spans="1:24" hidden="1" x14ac:dyDescent="0.25">
      <c r="A614" t="s">
        <v>977</v>
      </c>
      <c r="B614" t="s">
        <v>59</v>
      </c>
      <c r="C614" t="s">
        <v>34</v>
      </c>
      <c r="D614">
        <v>51</v>
      </c>
      <c r="E614" t="s">
        <v>976</v>
      </c>
      <c r="F614" t="s">
        <v>35</v>
      </c>
      <c r="G614" t="s">
        <v>26</v>
      </c>
      <c r="H614" t="str">
        <f>INDEX(Table1[Diagnosis],MATCH(I614,'codeand diagnosis'!$A$2:$A$11,0))</f>
        <v>Dental examination</v>
      </c>
      <c r="I614" t="s">
        <v>45</v>
      </c>
      <c r="J614" t="str">
        <f>INDEX(Table1[ICD-10 Code],MATCH(Table2[[#This Row],[Treatment]],Table1[Treatment Type],0))</f>
        <v>Z01.2</v>
      </c>
      <c r="K614" t="s">
        <v>28</v>
      </c>
      <c r="L614" t="s">
        <v>28</v>
      </c>
      <c r="M614" t="s">
        <v>61</v>
      </c>
      <c r="N614">
        <f>Table2[[#This Row],[Total Paid]]+Table2[[#This Row],[Due]]</f>
        <v>200</v>
      </c>
      <c r="O614">
        <v>0</v>
      </c>
      <c r="P614">
        <v>0</v>
      </c>
      <c r="Q614">
        <v>200</v>
      </c>
      <c r="R614">
        <v>0</v>
      </c>
      <c r="S614">
        <v>0</v>
      </c>
      <c r="T614">
        <v>200</v>
      </c>
      <c r="U614">
        <v>0</v>
      </c>
      <c r="V614">
        <v>200</v>
      </c>
      <c r="W614" t="s">
        <v>42</v>
      </c>
      <c r="X614" s="6" t="s">
        <v>953</v>
      </c>
    </row>
    <row r="615" spans="1:24" hidden="1" x14ac:dyDescent="0.25">
      <c r="A615" t="s">
        <v>978</v>
      </c>
      <c r="B615" t="s">
        <v>70</v>
      </c>
      <c r="C615" t="s">
        <v>24</v>
      </c>
      <c r="D615">
        <v>21</v>
      </c>
      <c r="E615" t="s">
        <v>979</v>
      </c>
      <c r="F615" t="s">
        <v>35</v>
      </c>
      <c r="G615" t="s">
        <v>26</v>
      </c>
      <c r="H615" t="str">
        <f>INDEX(Table1[Diagnosis],MATCH(I615,'codeand diagnosis'!$A$2:$A$11,0))</f>
        <v>Dental examination with radiology</v>
      </c>
      <c r="I615" t="s">
        <v>37</v>
      </c>
      <c r="J615" t="str">
        <f>INDEX(Table1[ICD-10 Code],MATCH(Table2[[#This Row],[Treatment]],Table1[Treatment Type],0))</f>
        <v>Z01.2</v>
      </c>
      <c r="K615" t="s">
        <v>38</v>
      </c>
      <c r="L615" t="s">
        <v>38</v>
      </c>
      <c r="M615" t="s">
        <v>29</v>
      </c>
      <c r="N615">
        <f>Table2[[#This Row],[Total Paid]]+Table2[[#This Row],[Due]]</f>
        <v>90</v>
      </c>
      <c r="O615">
        <v>0</v>
      </c>
      <c r="P615">
        <v>150</v>
      </c>
      <c r="Q615">
        <v>0</v>
      </c>
      <c r="R615">
        <v>0</v>
      </c>
      <c r="S615">
        <v>60</v>
      </c>
      <c r="T615">
        <v>90</v>
      </c>
      <c r="U615">
        <v>0</v>
      </c>
      <c r="V615">
        <v>90</v>
      </c>
      <c r="W615" t="s">
        <v>42</v>
      </c>
      <c r="X615" s="6" t="s">
        <v>953</v>
      </c>
    </row>
    <row r="616" spans="1:24" hidden="1" x14ac:dyDescent="0.25">
      <c r="A616" t="s">
        <v>980</v>
      </c>
      <c r="B616" t="s">
        <v>365</v>
      </c>
      <c r="C616" t="s">
        <v>24</v>
      </c>
      <c r="D616">
        <v>74</v>
      </c>
      <c r="E616" t="s">
        <v>981</v>
      </c>
      <c r="F616" t="s">
        <v>88</v>
      </c>
      <c r="G616" t="s">
        <v>26</v>
      </c>
      <c r="H616" t="str">
        <f>INDEX(Table1[Diagnosis],MATCH(I616,'codeand diagnosis'!$A$2:$A$11,0))</f>
        <v>Malocclusion</v>
      </c>
      <c r="I616" t="s">
        <v>89</v>
      </c>
      <c r="J616" t="str">
        <f>INDEX(Table1[ICD-10 Code],MATCH(Table2[[#This Row],[Treatment]],Table1[Treatment Type],0))</f>
        <v>K07.4</v>
      </c>
      <c r="K616" t="s">
        <v>28</v>
      </c>
      <c r="L616" t="s">
        <v>38</v>
      </c>
      <c r="M616" t="s">
        <v>29</v>
      </c>
      <c r="N616">
        <f>Table2[[#This Row],[Total Paid]]+Table2[[#This Row],[Due]]</f>
        <v>14280</v>
      </c>
      <c r="O616">
        <v>14280</v>
      </c>
      <c r="P616">
        <v>0</v>
      </c>
      <c r="Q616">
        <v>0</v>
      </c>
      <c r="R616">
        <v>3030</v>
      </c>
      <c r="S616">
        <v>0</v>
      </c>
      <c r="T616">
        <v>14280</v>
      </c>
      <c r="U616">
        <v>0</v>
      </c>
      <c r="V616">
        <v>11250</v>
      </c>
      <c r="W616" t="s">
        <v>47</v>
      </c>
      <c r="X616" s="6" t="s">
        <v>953</v>
      </c>
    </row>
    <row r="617" spans="1:24" hidden="1" x14ac:dyDescent="0.25">
      <c r="A617" t="s">
        <v>982</v>
      </c>
      <c r="B617" t="s">
        <v>451</v>
      </c>
      <c r="C617" t="s">
        <v>24</v>
      </c>
      <c r="D617">
        <v>67</v>
      </c>
      <c r="E617" t="s">
        <v>981</v>
      </c>
      <c r="F617" t="s">
        <v>104</v>
      </c>
      <c r="G617" t="s">
        <v>26</v>
      </c>
      <c r="H617" t="str">
        <f>INDEX(Table1[Diagnosis],MATCH(I617,'codeand diagnosis'!$A$2:$A$11,0))</f>
        <v>Dental examination</v>
      </c>
      <c r="I617" t="s">
        <v>45</v>
      </c>
      <c r="J617" t="str">
        <f>INDEX(Table1[ICD-10 Code],MATCH(Table2[[#This Row],[Treatment]],Table1[Treatment Type],0))</f>
        <v>Z01.2</v>
      </c>
      <c r="K617" t="s">
        <v>28</v>
      </c>
      <c r="L617" t="s">
        <v>28</v>
      </c>
      <c r="M617" t="s">
        <v>46</v>
      </c>
      <c r="N617">
        <f>Table2[[#This Row],[Total Paid]]+Table2[[#This Row],[Due]]</f>
        <v>200</v>
      </c>
      <c r="O617">
        <v>0</v>
      </c>
      <c r="P617">
        <v>0</v>
      </c>
      <c r="Q617">
        <v>200</v>
      </c>
      <c r="R617">
        <v>0</v>
      </c>
      <c r="S617">
        <v>0</v>
      </c>
      <c r="T617">
        <v>200</v>
      </c>
      <c r="U617">
        <v>0</v>
      </c>
      <c r="V617">
        <v>200</v>
      </c>
      <c r="W617" t="s">
        <v>42</v>
      </c>
      <c r="X617" s="6" t="s">
        <v>953</v>
      </c>
    </row>
    <row r="618" spans="1:24" hidden="1" x14ac:dyDescent="0.25">
      <c r="A618" t="s">
        <v>983</v>
      </c>
      <c r="B618" t="s">
        <v>431</v>
      </c>
      <c r="C618" t="s">
        <v>34</v>
      </c>
      <c r="D618">
        <v>60</v>
      </c>
      <c r="E618" t="s">
        <v>981</v>
      </c>
      <c r="F618" t="s">
        <v>50</v>
      </c>
      <c r="G618" t="s">
        <v>26</v>
      </c>
      <c r="H618" t="str">
        <f>INDEX(Table1[Diagnosis],MATCH(I618,'codeand diagnosis'!$A$2:$A$11,0))</f>
        <v>Dental examination with radiology</v>
      </c>
      <c r="I618" t="s">
        <v>37</v>
      </c>
      <c r="J618" t="str">
        <f>INDEX(Table1[ICD-10 Code],MATCH(Table2[[#This Row],[Treatment]],Table1[Treatment Type],0))</f>
        <v>Z01.2</v>
      </c>
      <c r="K618" t="s">
        <v>38</v>
      </c>
      <c r="L618" t="s">
        <v>38</v>
      </c>
      <c r="M618" t="s">
        <v>29</v>
      </c>
      <c r="N618">
        <f>Table2[[#This Row],[Total Paid]]+Table2[[#This Row],[Due]]</f>
        <v>90</v>
      </c>
      <c r="O618">
        <v>0</v>
      </c>
      <c r="P618">
        <v>150</v>
      </c>
      <c r="Q618">
        <v>0</v>
      </c>
      <c r="R618">
        <v>0</v>
      </c>
      <c r="S618">
        <v>60</v>
      </c>
      <c r="T618">
        <v>90</v>
      </c>
      <c r="U618">
        <v>0</v>
      </c>
      <c r="V618">
        <v>90</v>
      </c>
      <c r="W618" t="s">
        <v>47</v>
      </c>
      <c r="X618" s="6" t="s">
        <v>953</v>
      </c>
    </row>
    <row r="619" spans="1:24" hidden="1" x14ac:dyDescent="0.25">
      <c r="A619" t="s">
        <v>984</v>
      </c>
      <c r="B619" t="s">
        <v>156</v>
      </c>
      <c r="C619" t="s">
        <v>24</v>
      </c>
      <c r="D619">
        <v>36</v>
      </c>
      <c r="E619" t="s">
        <v>985</v>
      </c>
      <c r="F619" t="s">
        <v>50</v>
      </c>
      <c r="G619" t="s">
        <v>36</v>
      </c>
      <c r="H619" t="str">
        <f>INDEX(Table1[Diagnosis],MATCH(I619,'codeand diagnosis'!$A$2:$A$11,0))</f>
        <v>Dental examination with radiology</v>
      </c>
      <c r="I619" t="s">
        <v>37</v>
      </c>
      <c r="J619" t="str">
        <f>INDEX(Table1[ICD-10 Code],MATCH(Table2[[#This Row],[Treatment]],Table1[Treatment Type],0))</f>
        <v>Z01.2</v>
      </c>
      <c r="K619" t="s">
        <v>38</v>
      </c>
      <c r="L619" t="s">
        <v>38</v>
      </c>
      <c r="M619" t="s">
        <v>29</v>
      </c>
      <c r="N619">
        <f>Table2[[#This Row],[Total Paid]]+Table2[[#This Row],[Due]]</f>
        <v>90</v>
      </c>
      <c r="O619">
        <v>0</v>
      </c>
      <c r="P619">
        <v>150</v>
      </c>
      <c r="Q619">
        <v>0</v>
      </c>
      <c r="R619">
        <v>0</v>
      </c>
      <c r="S619">
        <v>60</v>
      </c>
      <c r="T619">
        <v>90</v>
      </c>
      <c r="U619">
        <v>0</v>
      </c>
      <c r="V619">
        <v>90</v>
      </c>
      <c r="W619" t="s">
        <v>47</v>
      </c>
      <c r="X619" s="6" t="s">
        <v>953</v>
      </c>
    </row>
    <row r="620" spans="1:24" hidden="1" x14ac:dyDescent="0.25">
      <c r="A620" t="s">
        <v>986</v>
      </c>
      <c r="B620" t="s">
        <v>161</v>
      </c>
      <c r="C620" t="s">
        <v>24</v>
      </c>
      <c r="D620">
        <v>48</v>
      </c>
      <c r="E620" t="s">
        <v>985</v>
      </c>
      <c r="F620" t="s">
        <v>88</v>
      </c>
      <c r="G620" t="s">
        <v>26</v>
      </c>
      <c r="H620" t="str">
        <f>INDEX(Table1[Diagnosis],MATCH(I620,'codeand diagnosis'!$A$2:$A$11,0))</f>
        <v>Dental examination</v>
      </c>
      <c r="I620" t="s">
        <v>45</v>
      </c>
      <c r="J620" t="str">
        <f>INDEX(Table1[ICD-10 Code],MATCH(Table2[[#This Row],[Treatment]],Table1[Treatment Type],0))</f>
        <v>Z01.2</v>
      </c>
      <c r="K620" t="s">
        <v>38</v>
      </c>
      <c r="L620" t="s">
        <v>28</v>
      </c>
      <c r="M620" t="s">
        <v>29</v>
      </c>
      <c r="N620">
        <f>Table2[[#This Row],[Total Paid]]+Table2[[#This Row],[Due]]</f>
        <v>0</v>
      </c>
      <c r="O620">
        <v>0</v>
      </c>
      <c r="P620">
        <v>0</v>
      </c>
      <c r="Q620">
        <v>0</v>
      </c>
      <c r="R620">
        <v>0</v>
      </c>
      <c r="S620">
        <v>0</v>
      </c>
      <c r="T620">
        <v>0</v>
      </c>
      <c r="U620">
        <v>0</v>
      </c>
      <c r="V620">
        <v>0</v>
      </c>
      <c r="W620" t="s">
        <v>51</v>
      </c>
      <c r="X620" s="6" t="s">
        <v>953</v>
      </c>
    </row>
    <row r="621" spans="1:24" hidden="1" x14ac:dyDescent="0.25">
      <c r="A621" t="s">
        <v>987</v>
      </c>
      <c r="B621" t="s">
        <v>188</v>
      </c>
      <c r="C621" t="s">
        <v>34</v>
      </c>
      <c r="D621">
        <v>37</v>
      </c>
      <c r="E621" t="s">
        <v>988</v>
      </c>
      <c r="F621" t="s">
        <v>35</v>
      </c>
      <c r="G621" t="s">
        <v>26</v>
      </c>
      <c r="H621" t="str">
        <f>INDEX(Table1[Diagnosis],MATCH(I621,'codeand diagnosis'!$A$2:$A$11,0))</f>
        <v>Missing teeth</v>
      </c>
      <c r="I621" t="s">
        <v>78</v>
      </c>
      <c r="J621" t="str">
        <f>INDEX(Table1[ICD-10 Code],MATCH(Table2[[#This Row],[Treatment]],Table1[Treatment Type],0))</f>
        <v>K08.1</v>
      </c>
      <c r="K621" t="s">
        <v>28</v>
      </c>
      <c r="L621" t="s">
        <v>28</v>
      </c>
      <c r="M621" t="s">
        <v>29</v>
      </c>
      <c r="N621">
        <f>Table2[[#This Row],[Total Paid]]+Table2[[#This Row],[Due]]</f>
        <v>23141</v>
      </c>
      <c r="O621">
        <v>23141</v>
      </c>
      <c r="P621">
        <v>0</v>
      </c>
      <c r="Q621">
        <v>0</v>
      </c>
      <c r="R621">
        <v>4960</v>
      </c>
      <c r="S621">
        <v>0</v>
      </c>
      <c r="T621">
        <v>23141</v>
      </c>
      <c r="U621">
        <v>0</v>
      </c>
      <c r="V621">
        <v>18181</v>
      </c>
      <c r="W621" t="s">
        <v>51</v>
      </c>
      <c r="X621" s="6" t="s">
        <v>953</v>
      </c>
    </row>
    <row r="622" spans="1:24" hidden="1" x14ac:dyDescent="0.25">
      <c r="A622" t="s">
        <v>989</v>
      </c>
      <c r="B622" t="s">
        <v>98</v>
      </c>
      <c r="C622" t="s">
        <v>24</v>
      </c>
      <c r="D622">
        <v>58</v>
      </c>
      <c r="E622" t="s">
        <v>990</v>
      </c>
      <c r="F622" t="s">
        <v>88</v>
      </c>
      <c r="G622" t="s">
        <v>36</v>
      </c>
      <c r="H622" t="str">
        <f>INDEX(Table1[Diagnosis],MATCH(I622,'codeand diagnosis'!$A$2:$A$11,0))</f>
        <v>Gingivitis</v>
      </c>
      <c r="I622" t="s">
        <v>27</v>
      </c>
      <c r="J622" t="str">
        <f>INDEX(Table1[ICD-10 Code],MATCH(Table2[[#This Row],[Treatment]],Table1[Treatment Type],0))</f>
        <v>K05.10</v>
      </c>
      <c r="K622" t="s">
        <v>38</v>
      </c>
      <c r="L622" t="s">
        <v>38</v>
      </c>
      <c r="M622" t="s">
        <v>29</v>
      </c>
      <c r="N622">
        <f>Table2[[#This Row],[Total Paid]]+Table2[[#This Row],[Due]]</f>
        <v>672</v>
      </c>
      <c r="O622">
        <v>672</v>
      </c>
      <c r="P622">
        <v>0</v>
      </c>
      <c r="Q622">
        <v>0</v>
      </c>
      <c r="R622">
        <v>0</v>
      </c>
      <c r="S622">
        <v>0</v>
      </c>
      <c r="T622">
        <v>672</v>
      </c>
      <c r="U622">
        <v>0</v>
      </c>
      <c r="V622">
        <v>672</v>
      </c>
      <c r="W622" t="s">
        <v>42</v>
      </c>
      <c r="X622" s="6" t="s">
        <v>953</v>
      </c>
    </row>
    <row r="623" spans="1:24" hidden="1" x14ac:dyDescent="0.25">
      <c r="A623" t="s">
        <v>991</v>
      </c>
      <c r="B623" t="s">
        <v>141</v>
      </c>
      <c r="C623" t="s">
        <v>34</v>
      </c>
      <c r="D623">
        <v>68</v>
      </c>
      <c r="E623" t="s">
        <v>990</v>
      </c>
      <c r="F623" t="s">
        <v>50</v>
      </c>
      <c r="G623" t="s">
        <v>36</v>
      </c>
      <c r="H623" t="str">
        <f>INDEX(Table1[Diagnosis],MATCH(I623,'codeand diagnosis'!$A$2:$A$11,0))</f>
        <v>Dental examination with radiology</v>
      </c>
      <c r="I623" t="s">
        <v>37</v>
      </c>
      <c r="J623" t="str">
        <f>INDEX(Table1[ICD-10 Code],MATCH(Table2[[#This Row],[Treatment]],Table1[Treatment Type],0))</f>
        <v>Z01.2</v>
      </c>
      <c r="K623" t="s">
        <v>38</v>
      </c>
      <c r="L623" t="s">
        <v>38</v>
      </c>
      <c r="M623" t="s">
        <v>29</v>
      </c>
      <c r="N623">
        <f>Table2[[#This Row],[Total Paid]]+Table2[[#This Row],[Due]]</f>
        <v>150</v>
      </c>
      <c r="O623">
        <v>0</v>
      </c>
      <c r="P623">
        <v>150</v>
      </c>
      <c r="Q623">
        <v>0</v>
      </c>
      <c r="R623">
        <v>0</v>
      </c>
      <c r="S623">
        <v>0</v>
      </c>
      <c r="T623">
        <v>150</v>
      </c>
      <c r="U623">
        <v>0</v>
      </c>
      <c r="V623">
        <v>150</v>
      </c>
      <c r="W623" t="s">
        <v>47</v>
      </c>
      <c r="X623" s="6" t="s">
        <v>953</v>
      </c>
    </row>
    <row r="624" spans="1:24" hidden="1" x14ac:dyDescent="0.25">
      <c r="A624" t="s">
        <v>992</v>
      </c>
      <c r="B624" t="s">
        <v>275</v>
      </c>
      <c r="C624" t="s">
        <v>34</v>
      </c>
      <c r="D624">
        <v>72</v>
      </c>
      <c r="E624" t="s">
        <v>990</v>
      </c>
      <c r="F624" t="s">
        <v>88</v>
      </c>
      <c r="G624" t="s">
        <v>26</v>
      </c>
      <c r="H624" t="str">
        <f>INDEX(Table1[Diagnosis],MATCH(I624,'codeand diagnosis'!$A$2:$A$11,0))</f>
        <v>Gingivitis</v>
      </c>
      <c r="I624" t="s">
        <v>27</v>
      </c>
      <c r="J624" t="str">
        <f>INDEX(Table1[ICD-10 Code],MATCH(Table2[[#This Row],[Treatment]],Table1[Treatment Type],0))</f>
        <v>K05.10</v>
      </c>
      <c r="K624" t="s">
        <v>28</v>
      </c>
      <c r="L624" t="s">
        <v>28</v>
      </c>
      <c r="M624" t="s">
        <v>29</v>
      </c>
      <c r="N624">
        <f>Table2[[#This Row],[Total Paid]]+Table2[[#This Row],[Due]]</f>
        <v>300</v>
      </c>
      <c r="O624">
        <v>500</v>
      </c>
      <c r="P624">
        <v>0</v>
      </c>
      <c r="Q624">
        <v>0</v>
      </c>
      <c r="R624">
        <v>0</v>
      </c>
      <c r="S624">
        <v>200</v>
      </c>
      <c r="T624">
        <v>300</v>
      </c>
      <c r="U624">
        <v>0</v>
      </c>
      <c r="V624">
        <v>300</v>
      </c>
      <c r="W624" t="s">
        <v>42</v>
      </c>
      <c r="X624" s="6" t="s">
        <v>953</v>
      </c>
    </row>
    <row r="625" spans="1:24" hidden="1" x14ac:dyDescent="0.25">
      <c r="A625" t="s">
        <v>993</v>
      </c>
      <c r="B625" t="s">
        <v>275</v>
      </c>
      <c r="C625" t="s">
        <v>34</v>
      </c>
      <c r="D625">
        <v>9</v>
      </c>
      <c r="E625" t="s">
        <v>994</v>
      </c>
      <c r="F625" t="s">
        <v>35</v>
      </c>
      <c r="G625" t="s">
        <v>26</v>
      </c>
      <c r="H625" t="str">
        <f>INDEX(Table1[Diagnosis],MATCH(I625,'codeand diagnosis'!$A$2:$A$11,0))</f>
        <v>Cosmetic procedure</v>
      </c>
      <c r="I625" t="s">
        <v>55</v>
      </c>
      <c r="J625" t="str">
        <f>INDEX(Table1[ICD-10 Code],MATCH(Table2[[#This Row],[Treatment]],Table1[Treatment Type],0))</f>
        <v>Z41.1</v>
      </c>
      <c r="K625" t="s">
        <v>38</v>
      </c>
      <c r="L625" t="s">
        <v>38</v>
      </c>
      <c r="M625" t="s">
        <v>29</v>
      </c>
      <c r="N625">
        <f>Table2[[#This Row],[Total Paid]]+Table2[[#This Row],[Due]]</f>
        <v>1444</v>
      </c>
      <c r="O625">
        <v>1444</v>
      </c>
      <c r="P625">
        <v>0</v>
      </c>
      <c r="Q625">
        <v>0</v>
      </c>
      <c r="R625">
        <v>0</v>
      </c>
      <c r="S625">
        <v>0</v>
      </c>
      <c r="T625">
        <v>1444</v>
      </c>
      <c r="U625">
        <v>0</v>
      </c>
      <c r="V625">
        <v>1444</v>
      </c>
      <c r="W625" t="s">
        <v>47</v>
      </c>
      <c r="X625" s="6" t="s">
        <v>953</v>
      </c>
    </row>
    <row r="626" spans="1:24" hidden="1" x14ac:dyDescent="0.25">
      <c r="A626" t="s">
        <v>995</v>
      </c>
      <c r="B626" t="s">
        <v>82</v>
      </c>
      <c r="C626" t="s">
        <v>24</v>
      </c>
      <c r="D626">
        <v>56</v>
      </c>
      <c r="E626" t="s">
        <v>994</v>
      </c>
      <c r="F626" t="s">
        <v>50</v>
      </c>
      <c r="G626" t="s">
        <v>26</v>
      </c>
      <c r="H626" t="str">
        <f>INDEX(Table1[Diagnosis],MATCH(I626,'codeand diagnosis'!$A$2:$A$11,0))</f>
        <v>Dental examination</v>
      </c>
      <c r="I626" t="s">
        <v>45</v>
      </c>
      <c r="J626" t="str">
        <f>INDEX(Table1[ICD-10 Code],MATCH(Table2[[#This Row],[Treatment]],Table1[Treatment Type],0))</f>
        <v>Z01.2</v>
      </c>
      <c r="K626" t="s">
        <v>28</v>
      </c>
      <c r="L626" t="s">
        <v>28</v>
      </c>
      <c r="M626" t="s">
        <v>29</v>
      </c>
      <c r="N626">
        <f>Table2[[#This Row],[Total Paid]]+Table2[[#This Row],[Due]]</f>
        <v>200</v>
      </c>
      <c r="O626">
        <v>0</v>
      </c>
      <c r="P626">
        <v>0</v>
      </c>
      <c r="Q626">
        <v>200</v>
      </c>
      <c r="R626">
        <v>0</v>
      </c>
      <c r="S626">
        <v>0</v>
      </c>
      <c r="T626">
        <v>200</v>
      </c>
      <c r="U626">
        <v>0</v>
      </c>
      <c r="V626">
        <v>200</v>
      </c>
      <c r="W626" t="s">
        <v>47</v>
      </c>
      <c r="X626" s="6" t="s">
        <v>953</v>
      </c>
    </row>
    <row r="627" spans="1:24" hidden="1" x14ac:dyDescent="0.25">
      <c r="A627" t="s">
        <v>996</v>
      </c>
      <c r="B627" t="s">
        <v>520</v>
      </c>
      <c r="C627" t="s">
        <v>34</v>
      </c>
      <c r="D627">
        <v>75</v>
      </c>
      <c r="E627" t="s">
        <v>997</v>
      </c>
      <c r="F627" t="s">
        <v>50</v>
      </c>
      <c r="G627" t="s">
        <v>26</v>
      </c>
      <c r="H627" t="str">
        <f>INDEX(Table1[Diagnosis],MATCH(I627,'codeand diagnosis'!$A$2:$A$11,0))</f>
        <v>Dental examination with radiology</v>
      </c>
      <c r="I627" t="s">
        <v>37</v>
      </c>
      <c r="J627" t="str">
        <f>INDEX(Table1[ICD-10 Code],MATCH(Table2[[#This Row],[Treatment]],Table1[Treatment Type],0))</f>
        <v>Z01.2</v>
      </c>
      <c r="K627" t="s">
        <v>28</v>
      </c>
      <c r="L627" t="s">
        <v>38</v>
      </c>
      <c r="M627" t="s">
        <v>29</v>
      </c>
      <c r="N627">
        <f>Table2[[#This Row],[Total Paid]]+Table2[[#This Row],[Due]]</f>
        <v>350</v>
      </c>
      <c r="O627">
        <v>0</v>
      </c>
      <c r="P627">
        <v>150</v>
      </c>
      <c r="Q627">
        <v>200</v>
      </c>
      <c r="R627">
        <v>0</v>
      </c>
      <c r="S627">
        <v>0</v>
      </c>
      <c r="T627">
        <v>350</v>
      </c>
      <c r="U627">
        <v>0</v>
      </c>
      <c r="V627">
        <v>350</v>
      </c>
      <c r="W627" t="s">
        <v>51</v>
      </c>
      <c r="X627" s="6" t="s">
        <v>953</v>
      </c>
    </row>
    <row r="628" spans="1:24" hidden="1" x14ac:dyDescent="0.25">
      <c r="A628" t="s">
        <v>998</v>
      </c>
      <c r="B628" t="s">
        <v>65</v>
      </c>
      <c r="C628" t="s">
        <v>24</v>
      </c>
      <c r="D628">
        <v>54</v>
      </c>
      <c r="E628" t="s">
        <v>999</v>
      </c>
      <c r="F628" t="s">
        <v>266</v>
      </c>
      <c r="G628" t="s">
        <v>36</v>
      </c>
      <c r="H628" t="str">
        <f>INDEX(Table1[Diagnosis],MATCH(I628,'codeand diagnosis'!$A$2:$A$11,0))</f>
        <v>Retained dental root</v>
      </c>
      <c r="I628" t="s">
        <v>145</v>
      </c>
      <c r="J628" t="str">
        <f>INDEX(Table1[ICD-10 Code],MATCH(Table2[[#This Row],[Treatment]],Table1[Treatment Type],0))</f>
        <v>K08.3</v>
      </c>
      <c r="K628" t="s">
        <v>38</v>
      </c>
      <c r="L628" t="s">
        <v>28</v>
      </c>
      <c r="M628" t="s">
        <v>29</v>
      </c>
      <c r="N628">
        <f>Table2[[#This Row],[Total Paid]]+Table2[[#This Row],[Due]]</f>
        <v>3469</v>
      </c>
      <c r="O628">
        <v>3569</v>
      </c>
      <c r="P628">
        <v>0</v>
      </c>
      <c r="Q628">
        <v>0</v>
      </c>
      <c r="R628">
        <v>1200</v>
      </c>
      <c r="S628">
        <v>100</v>
      </c>
      <c r="T628">
        <v>2886</v>
      </c>
      <c r="U628">
        <v>583</v>
      </c>
      <c r="V628">
        <v>1686</v>
      </c>
      <c r="W628" t="s">
        <v>51</v>
      </c>
      <c r="X628" s="6" t="s">
        <v>953</v>
      </c>
    </row>
    <row r="629" spans="1:24" hidden="1" x14ac:dyDescent="0.25">
      <c r="A629" t="s">
        <v>1000</v>
      </c>
      <c r="B629" t="s">
        <v>290</v>
      </c>
      <c r="C629" t="s">
        <v>34</v>
      </c>
      <c r="D629">
        <v>37</v>
      </c>
      <c r="E629" s="1">
        <v>45296</v>
      </c>
      <c r="F629" t="s">
        <v>50</v>
      </c>
      <c r="G629" t="s">
        <v>26</v>
      </c>
      <c r="H629" t="str">
        <f>INDEX(Table1[Diagnosis],MATCH(I629,'codeand diagnosis'!$A$2:$A$11,0))</f>
        <v>Dental examination with radiology</v>
      </c>
      <c r="I629" t="s">
        <v>37</v>
      </c>
      <c r="J629" t="str">
        <f>INDEX(Table1[ICD-10 Code],MATCH(Table2[[#This Row],[Treatment]],Table1[Treatment Type],0))</f>
        <v>Z01.2</v>
      </c>
      <c r="K629" t="s">
        <v>38</v>
      </c>
      <c r="L629" t="s">
        <v>38</v>
      </c>
      <c r="M629" t="s">
        <v>29</v>
      </c>
      <c r="N629">
        <f>Table2[[#This Row],[Total Paid]]+Table2[[#This Row],[Due]]</f>
        <v>150</v>
      </c>
      <c r="O629">
        <v>0</v>
      </c>
      <c r="P629">
        <v>150</v>
      </c>
      <c r="Q629">
        <v>0</v>
      </c>
      <c r="R629">
        <v>0</v>
      </c>
      <c r="S629">
        <v>0</v>
      </c>
      <c r="T629">
        <v>150</v>
      </c>
      <c r="U629">
        <v>0</v>
      </c>
      <c r="V629">
        <v>150</v>
      </c>
      <c r="W629" t="s">
        <v>51</v>
      </c>
      <c r="X629" s="6" t="s">
        <v>1001</v>
      </c>
    </row>
    <row r="630" spans="1:24" hidden="1" x14ac:dyDescent="0.25">
      <c r="A630" t="s">
        <v>1002</v>
      </c>
      <c r="B630" t="s">
        <v>156</v>
      </c>
      <c r="C630" t="s">
        <v>24</v>
      </c>
      <c r="D630">
        <v>52</v>
      </c>
      <c r="E630" s="1">
        <v>45296</v>
      </c>
      <c r="F630" t="s">
        <v>359</v>
      </c>
      <c r="G630" t="s">
        <v>36</v>
      </c>
      <c r="H630" t="str">
        <f>INDEX(Table1[Diagnosis],MATCH(I630,'codeand diagnosis'!$A$2:$A$11,0))</f>
        <v>Dental examination with radiology</v>
      </c>
      <c r="I630" t="s">
        <v>37</v>
      </c>
      <c r="J630" t="str">
        <f>INDEX(Table1[ICD-10 Code],MATCH(Table2[[#This Row],[Treatment]],Table1[Treatment Type],0))</f>
        <v>Z01.2</v>
      </c>
      <c r="K630" t="s">
        <v>28</v>
      </c>
      <c r="L630" t="s">
        <v>38</v>
      </c>
      <c r="M630" t="s">
        <v>29</v>
      </c>
      <c r="N630">
        <f>Table2[[#This Row],[Total Paid]]+Table2[[#This Row],[Due]]</f>
        <v>350</v>
      </c>
      <c r="O630">
        <v>0</v>
      </c>
      <c r="P630">
        <v>150</v>
      </c>
      <c r="Q630">
        <v>200</v>
      </c>
      <c r="R630">
        <v>0</v>
      </c>
      <c r="S630">
        <v>0</v>
      </c>
      <c r="T630">
        <v>350</v>
      </c>
      <c r="U630">
        <v>0</v>
      </c>
      <c r="V630">
        <v>350</v>
      </c>
      <c r="W630" t="s">
        <v>51</v>
      </c>
      <c r="X630" s="6" t="s">
        <v>1001</v>
      </c>
    </row>
    <row r="631" spans="1:24" hidden="1" x14ac:dyDescent="0.25">
      <c r="A631" t="s">
        <v>1003</v>
      </c>
      <c r="B631" t="s">
        <v>80</v>
      </c>
      <c r="C631" t="s">
        <v>34</v>
      </c>
      <c r="D631">
        <v>62</v>
      </c>
      <c r="E631" s="1">
        <v>45327</v>
      </c>
      <c r="F631" t="s">
        <v>50</v>
      </c>
      <c r="G631" t="s">
        <v>26</v>
      </c>
      <c r="H631" t="str">
        <f>INDEX(Table1[Diagnosis],MATCH(I631,'codeand diagnosis'!$A$2:$A$11,0))</f>
        <v>Dental examination with radiology</v>
      </c>
      <c r="I631" t="s">
        <v>37</v>
      </c>
      <c r="J631" t="str">
        <f>INDEX(Table1[ICD-10 Code],MATCH(Table2[[#This Row],[Treatment]],Table1[Treatment Type],0))</f>
        <v>Z01.2</v>
      </c>
      <c r="K631" t="s">
        <v>28</v>
      </c>
      <c r="L631" t="s">
        <v>38</v>
      </c>
      <c r="M631" t="s">
        <v>29</v>
      </c>
      <c r="N631">
        <f>Table2[[#This Row],[Total Paid]]+Table2[[#This Row],[Due]]</f>
        <v>350</v>
      </c>
      <c r="O631">
        <v>0</v>
      </c>
      <c r="P631">
        <v>150</v>
      </c>
      <c r="Q631">
        <v>200</v>
      </c>
      <c r="R631">
        <v>0</v>
      </c>
      <c r="S631">
        <v>0</v>
      </c>
      <c r="T631">
        <v>350</v>
      </c>
      <c r="U631">
        <v>0</v>
      </c>
      <c r="V631">
        <v>350</v>
      </c>
      <c r="W631" t="s">
        <v>51</v>
      </c>
      <c r="X631" s="6" t="s">
        <v>1001</v>
      </c>
    </row>
    <row r="632" spans="1:24" hidden="1" x14ac:dyDescent="0.25">
      <c r="A632" t="s">
        <v>1004</v>
      </c>
      <c r="B632" t="s">
        <v>73</v>
      </c>
      <c r="C632" t="s">
        <v>34</v>
      </c>
      <c r="D632">
        <v>13</v>
      </c>
      <c r="E632" s="1">
        <v>45387</v>
      </c>
      <c r="F632" t="s">
        <v>50</v>
      </c>
      <c r="G632" t="s">
        <v>26</v>
      </c>
      <c r="H632" t="str">
        <f>INDEX(Table1[Diagnosis],MATCH(I632,'codeand diagnosis'!$A$2:$A$11,0))</f>
        <v>Cosmetic procedure</v>
      </c>
      <c r="I632" t="s">
        <v>55</v>
      </c>
      <c r="J632" t="str">
        <f>INDEX(Table1[ICD-10 Code],MATCH(Table2[[#This Row],[Treatment]],Table1[Treatment Type],0))</f>
        <v>Z41.1</v>
      </c>
      <c r="K632" t="s">
        <v>38</v>
      </c>
      <c r="L632" t="s">
        <v>38</v>
      </c>
      <c r="M632" t="s">
        <v>29</v>
      </c>
      <c r="N632">
        <f>Table2[[#This Row],[Total Paid]]+Table2[[#This Row],[Due]]</f>
        <v>1774</v>
      </c>
      <c r="O632">
        <v>1774</v>
      </c>
      <c r="P632">
        <v>0</v>
      </c>
      <c r="Q632">
        <v>0</v>
      </c>
      <c r="R632">
        <v>0</v>
      </c>
      <c r="S632">
        <v>0</v>
      </c>
      <c r="T632">
        <v>1774</v>
      </c>
      <c r="U632">
        <v>0</v>
      </c>
      <c r="V632">
        <v>1774</v>
      </c>
      <c r="W632" t="s">
        <v>47</v>
      </c>
      <c r="X632" s="6" t="s">
        <v>1001</v>
      </c>
    </row>
    <row r="633" spans="1:24" hidden="1" x14ac:dyDescent="0.25">
      <c r="A633" t="s">
        <v>1005</v>
      </c>
      <c r="B633" t="s">
        <v>94</v>
      </c>
      <c r="C633" t="s">
        <v>24</v>
      </c>
      <c r="D633">
        <v>6</v>
      </c>
      <c r="E633" s="1">
        <v>45448</v>
      </c>
      <c r="F633" t="s">
        <v>50</v>
      </c>
      <c r="G633" t="s">
        <v>26</v>
      </c>
      <c r="H633" t="str">
        <f>INDEX(Table1[Diagnosis],MATCH(I633,'codeand diagnosis'!$A$2:$A$11,0))</f>
        <v>Dental examination</v>
      </c>
      <c r="I633" t="s">
        <v>45</v>
      </c>
      <c r="J633" t="str">
        <f>INDEX(Table1[ICD-10 Code],MATCH(Table2[[#This Row],[Treatment]],Table1[Treatment Type],0))</f>
        <v>Z01.2</v>
      </c>
      <c r="K633" t="s">
        <v>28</v>
      </c>
      <c r="L633" t="s">
        <v>28</v>
      </c>
      <c r="M633" t="s">
        <v>29</v>
      </c>
      <c r="N633">
        <f>Table2[[#This Row],[Total Paid]]+Table2[[#This Row],[Due]]</f>
        <v>200</v>
      </c>
      <c r="O633">
        <v>0</v>
      </c>
      <c r="P633">
        <v>0</v>
      </c>
      <c r="Q633">
        <v>200</v>
      </c>
      <c r="R633">
        <v>0</v>
      </c>
      <c r="S633">
        <v>0</v>
      </c>
      <c r="T633">
        <v>200</v>
      </c>
      <c r="U633">
        <v>0</v>
      </c>
      <c r="V633">
        <v>200</v>
      </c>
      <c r="W633" t="s">
        <v>51</v>
      </c>
      <c r="X633" s="6" t="s">
        <v>1001</v>
      </c>
    </row>
    <row r="634" spans="1:24" hidden="1" x14ac:dyDescent="0.25">
      <c r="A634" t="s">
        <v>1006</v>
      </c>
      <c r="B634" t="s">
        <v>431</v>
      </c>
      <c r="C634" t="s">
        <v>34</v>
      </c>
      <c r="D634">
        <v>68</v>
      </c>
      <c r="E634" s="1">
        <v>45478</v>
      </c>
      <c r="F634" t="s">
        <v>88</v>
      </c>
      <c r="G634" t="s">
        <v>36</v>
      </c>
      <c r="H634" t="str">
        <f>INDEX(Table1[Diagnosis],MATCH(I634,'codeand diagnosis'!$A$2:$A$11,0))</f>
        <v>Dental examination</v>
      </c>
      <c r="I634" t="s">
        <v>45</v>
      </c>
      <c r="J634" t="str">
        <f>INDEX(Table1[ICD-10 Code],MATCH(Table2[[#This Row],[Treatment]],Table1[Treatment Type],0))</f>
        <v>Z01.2</v>
      </c>
      <c r="K634" t="s">
        <v>28</v>
      </c>
      <c r="L634" t="s">
        <v>28</v>
      </c>
      <c r="M634" t="s">
        <v>46</v>
      </c>
      <c r="N634">
        <f>Table2[[#This Row],[Total Paid]]+Table2[[#This Row],[Due]]</f>
        <v>200</v>
      </c>
      <c r="O634">
        <v>0</v>
      </c>
      <c r="P634">
        <v>0</v>
      </c>
      <c r="Q634">
        <v>200</v>
      </c>
      <c r="R634">
        <v>0</v>
      </c>
      <c r="S634">
        <v>0</v>
      </c>
      <c r="T634">
        <v>200</v>
      </c>
      <c r="U634">
        <v>0</v>
      </c>
      <c r="V634">
        <v>200</v>
      </c>
      <c r="W634" t="s">
        <v>42</v>
      </c>
      <c r="X634" s="6" t="s">
        <v>1001</v>
      </c>
    </row>
    <row r="635" spans="1:24" hidden="1" x14ac:dyDescent="0.25">
      <c r="A635" t="s">
        <v>1007</v>
      </c>
      <c r="B635" t="s">
        <v>70</v>
      </c>
      <c r="C635" t="s">
        <v>24</v>
      </c>
      <c r="D635">
        <v>54</v>
      </c>
      <c r="E635" s="1">
        <v>45509</v>
      </c>
      <c r="F635" t="s">
        <v>132</v>
      </c>
      <c r="G635" t="s">
        <v>36</v>
      </c>
      <c r="H635" t="str">
        <f>INDEX(Table1[Diagnosis],MATCH(I635,'codeand diagnosis'!$A$2:$A$11,0))</f>
        <v>Dental examination with radiology</v>
      </c>
      <c r="I635" t="s">
        <v>37</v>
      </c>
      <c r="J635" t="str">
        <f>INDEX(Table1[ICD-10 Code],MATCH(Table2[[#This Row],[Treatment]],Table1[Treatment Type],0))</f>
        <v>Z01.2</v>
      </c>
      <c r="K635" t="s">
        <v>28</v>
      </c>
      <c r="L635" t="s">
        <v>38</v>
      </c>
      <c r="M635" t="s">
        <v>29</v>
      </c>
      <c r="N635">
        <f>Table2[[#This Row],[Total Paid]]+Table2[[#This Row],[Due]]</f>
        <v>350</v>
      </c>
      <c r="O635">
        <v>0</v>
      </c>
      <c r="P635">
        <v>150</v>
      </c>
      <c r="Q635">
        <v>200</v>
      </c>
      <c r="R635">
        <v>0</v>
      </c>
      <c r="S635">
        <v>0</v>
      </c>
      <c r="T635">
        <v>350</v>
      </c>
      <c r="U635">
        <v>0</v>
      </c>
      <c r="V635">
        <v>350</v>
      </c>
      <c r="W635" t="s">
        <v>51</v>
      </c>
      <c r="X635" s="6" t="s">
        <v>1001</v>
      </c>
    </row>
    <row r="636" spans="1:24" hidden="1" x14ac:dyDescent="0.25">
      <c r="A636" t="s">
        <v>1008</v>
      </c>
      <c r="B636" t="s">
        <v>84</v>
      </c>
      <c r="C636" t="s">
        <v>34</v>
      </c>
      <c r="D636">
        <v>9</v>
      </c>
      <c r="E636" s="1">
        <v>45540</v>
      </c>
      <c r="F636" t="s">
        <v>259</v>
      </c>
      <c r="G636" t="s">
        <v>26</v>
      </c>
      <c r="H636" t="str">
        <f>INDEX(Table1[Diagnosis],MATCH(I636,'codeand diagnosis'!$A$2:$A$11,0))</f>
        <v>Gingivitis</v>
      </c>
      <c r="I636" t="s">
        <v>27</v>
      </c>
      <c r="J636" t="str">
        <f>INDEX(Table1[ICD-10 Code],MATCH(Table2[[#This Row],[Treatment]],Table1[Treatment Type],0))</f>
        <v>K05.10</v>
      </c>
      <c r="K636" t="s">
        <v>28</v>
      </c>
      <c r="L636" t="s">
        <v>38</v>
      </c>
      <c r="M636" t="s">
        <v>29</v>
      </c>
      <c r="N636">
        <f>Table2[[#This Row],[Total Paid]]+Table2[[#This Row],[Due]]</f>
        <v>672</v>
      </c>
      <c r="O636">
        <v>672</v>
      </c>
      <c r="P636">
        <v>0</v>
      </c>
      <c r="Q636">
        <v>0</v>
      </c>
      <c r="R636">
        <v>0</v>
      </c>
      <c r="S636">
        <v>0</v>
      </c>
      <c r="T636">
        <v>672</v>
      </c>
      <c r="U636">
        <v>0</v>
      </c>
      <c r="V636">
        <v>672</v>
      </c>
      <c r="W636" t="s">
        <v>51</v>
      </c>
      <c r="X636" s="6" t="s">
        <v>1001</v>
      </c>
    </row>
    <row r="637" spans="1:24" hidden="1" x14ac:dyDescent="0.25">
      <c r="A637" t="s">
        <v>1009</v>
      </c>
      <c r="B637" t="s">
        <v>57</v>
      </c>
      <c r="C637" t="s">
        <v>24</v>
      </c>
      <c r="D637">
        <v>22</v>
      </c>
      <c r="E637" s="1">
        <v>45570</v>
      </c>
      <c r="F637" t="s">
        <v>35</v>
      </c>
      <c r="G637" t="s">
        <v>26</v>
      </c>
      <c r="H637" t="str">
        <f>INDEX(Table1[Diagnosis],MATCH(I637,'codeand diagnosis'!$A$2:$A$11,0))</f>
        <v>Dental examination</v>
      </c>
      <c r="I637" t="s">
        <v>45</v>
      </c>
      <c r="J637" t="str">
        <f>INDEX(Table1[ICD-10 Code],MATCH(Table2[[#This Row],[Treatment]],Table1[Treatment Type],0))</f>
        <v>Z01.2</v>
      </c>
      <c r="K637" t="s">
        <v>38</v>
      </c>
      <c r="L637" t="s">
        <v>28</v>
      </c>
      <c r="M637" t="s">
        <v>29</v>
      </c>
      <c r="N637">
        <f>Table2[[#This Row],[Total Paid]]+Table2[[#This Row],[Due]]</f>
        <v>0</v>
      </c>
      <c r="O637">
        <v>0</v>
      </c>
      <c r="P637">
        <v>0</v>
      </c>
      <c r="Q637">
        <v>0</v>
      </c>
      <c r="R637">
        <v>0</v>
      </c>
      <c r="S637">
        <v>0</v>
      </c>
      <c r="T637">
        <v>0</v>
      </c>
      <c r="U637">
        <v>0</v>
      </c>
      <c r="V637">
        <v>0</v>
      </c>
      <c r="W637" t="s">
        <v>51</v>
      </c>
      <c r="X637" s="6" t="s">
        <v>1001</v>
      </c>
    </row>
    <row r="638" spans="1:24" hidden="1" x14ac:dyDescent="0.25">
      <c r="A638" t="s">
        <v>1010</v>
      </c>
      <c r="B638" t="s">
        <v>148</v>
      </c>
      <c r="C638" t="s">
        <v>24</v>
      </c>
      <c r="D638">
        <v>73</v>
      </c>
      <c r="E638" s="1">
        <v>45601</v>
      </c>
      <c r="F638" t="s">
        <v>35</v>
      </c>
      <c r="G638" t="s">
        <v>26</v>
      </c>
      <c r="H638" t="str">
        <f>INDEX(Table1[Diagnosis],MATCH(I638,'codeand diagnosis'!$A$2:$A$11,0))</f>
        <v>Dental examination</v>
      </c>
      <c r="I638" t="s">
        <v>45</v>
      </c>
      <c r="J638" t="str">
        <f>INDEX(Table1[ICD-10 Code],MATCH(Table2[[#This Row],[Treatment]],Table1[Treatment Type],0))</f>
        <v>Z01.2</v>
      </c>
      <c r="K638" t="s">
        <v>28</v>
      </c>
      <c r="L638" t="s">
        <v>28</v>
      </c>
      <c r="M638" t="s">
        <v>29</v>
      </c>
      <c r="N638">
        <f>Table2[[#This Row],[Total Paid]]+Table2[[#This Row],[Due]]</f>
        <v>120</v>
      </c>
      <c r="O638">
        <v>0</v>
      </c>
      <c r="P638">
        <v>0</v>
      </c>
      <c r="Q638">
        <v>200</v>
      </c>
      <c r="R638">
        <v>0</v>
      </c>
      <c r="S638">
        <v>80</v>
      </c>
      <c r="T638">
        <v>120</v>
      </c>
      <c r="U638">
        <v>0</v>
      </c>
      <c r="V638">
        <v>120</v>
      </c>
      <c r="W638" t="s">
        <v>51</v>
      </c>
      <c r="X638" s="6" t="s">
        <v>1001</v>
      </c>
    </row>
    <row r="639" spans="1:24" hidden="1" x14ac:dyDescent="0.25">
      <c r="A639" t="s">
        <v>1011</v>
      </c>
      <c r="B639" t="s">
        <v>118</v>
      </c>
      <c r="C639" t="s">
        <v>24</v>
      </c>
      <c r="D639">
        <v>18</v>
      </c>
      <c r="E639" s="1">
        <v>45601</v>
      </c>
      <c r="F639" t="s">
        <v>35</v>
      </c>
      <c r="G639" t="s">
        <v>26</v>
      </c>
      <c r="H639" t="str">
        <f>INDEX(Table1[Diagnosis],MATCH(I639,'codeand diagnosis'!$A$2:$A$11,0))</f>
        <v>Dental examination with radiology</v>
      </c>
      <c r="I639" t="s">
        <v>37</v>
      </c>
      <c r="J639" t="str">
        <f>INDEX(Table1[ICD-10 Code],MATCH(Table2[[#This Row],[Treatment]],Table1[Treatment Type],0))</f>
        <v>Z01.2</v>
      </c>
      <c r="K639" t="s">
        <v>28</v>
      </c>
      <c r="L639" t="s">
        <v>38</v>
      </c>
      <c r="M639" t="s">
        <v>29</v>
      </c>
      <c r="N639">
        <f>Table2[[#This Row],[Total Paid]]+Table2[[#This Row],[Due]]</f>
        <v>350</v>
      </c>
      <c r="O639">
        <v>0</v>
      </c>
      <c r="P639">
        <v>150</v>
      </c>
      <c r="Q639">
        <v>200</v>
      </c>
      <c r="R639">
        <v>0</v>
      </c>
      <c r="S639">
        <v>0</v>
      </c>
      <c r="T639">
        <v>350</v>
      </c>
      <c r="U639">
        <v>0</v>
      </c>
      <c r="V639">
        <v>350</v>
      </c>
      <c r="W639" t="s">
        <v>51</v>
      </c>
      <c r="X639" s="6" t="s">
        <v>1001</v>
      </c>
    </row>
    <row r="640" spans="1:24" hidden="1" x14ac:dyDescent="0.25">
      <c r="A640" t="s">
        <v>1012</v>
      </c>
      <c r="B640" t="s">
        <v>207</v>
      </c>
      <c r="C640" t="s">
        <v>34</v>
      </c>
      <c r="D640">
        <v>48</v>
      </c>
      <c r="E640" t="s">
        <v>1013</v>
      </c>
      <c r="F640" t="s">
        <v>88</v>
      </c>
      <c r="G640" t="s">
        <v>36</v>
      </c>
      <c r="H640" t="str">
        <f>INDEX(Table1[Diagnosis],MATCH(I640,'codeand diagnosis'!$A$2:$A$11,0))</f>
        <v>Dental examination with radiology</v>
      </c>
      <c r="I640" t="s">
        <v>37</v>
      </c>
      <c r="J640" t="str">
        <f>INDEX(Table1[ICD-10 Code],MATCH(Table2[[#This Row],[Treatment]],Table1[Treatment Type],0))</f>
        <v>Z01.2</v>
      </c>
      <c r="K640" t="s">
        <v>28</v>
      </c>
      <c r="L640" t="s">
        <v>38</v>
      </c>
      <c r="M640" t="s">
        <v>46</v>
      </c>
      <c r="N640">
        <f>Table2[[#This Row],[Total Paid]]+Table2[[#This Row],[Due]]</f>
        <v>300</v>
      </c>
      <c r="O640">
        <v>0</v>
      </c>
      <c r="P640">
        <v>150</v>
      </c>
      <c r="Q640">
        <v>200</v>
      </c>
      <c r="R640">
        <v>0</v>
      </c>
      <c r="S640">
        <v>50</v>
      </c>
      <c r="T640">
        <v>300</v>
      </c>
      <c r="U640">
        <v>0</v>
      </c>
      <c r="V640">
        <v>300</v>
      </c>
      <c r="W640" t="s">
        <v>51</v>
      </c>
      <c r="X640" s="6" t="s">
        <v>1001</v>
      </c>
    </row>
    <row r="641" spans="1:24" hidden="1" x14ac:dyDescent="0.25">
      <c r="A641" t="s">
        <v>1014</v>
      </c>
      <c r="B641" t="s">
        <v>306</v>
      </c>
      <c r="C641" t="s">
        <v>24</v>
      </c>
      <c r="D641">
        <v>64</v>
      </c>
      <c r="E641" t="s">
        <v>1013</v>
      </c>
      <c r="F641" t="s">
        <v>50</v>
      </c>
      <c r="G641" t="s">
        <v>36</v>
      </c>
      <c r="H641" t="str">
        <f>INDEX(Table1[Diagnosis],MATCH(I641,'codeand diagnosis'!$A$2:$A$11,0))</f>
        <v>Loss of teeth</v>
      </c>
      <c r="I641" t="s">
        <v>68</v>
      </c>
      <c r="J641" t="str">
        <f>INDEX(Table1[ICD-10 Code],MATCH(Table2[[#This Row],[Treatment]],Table1[Treatment Type],0))</f>
        <v>K08.1</v>
      </c>
      <c r="K641" t="s">
        <v>28</v>
      </c>
      <c r="L641" t="s">
        <v>38</v>
      </c>
      <c r="M641" t="s">
        <v>29</v>
      </c>
      <c r="N641">
        <f>Table2[[#This Row],[Total Paid]]+Table2[[#This Row],[Due]]</f>
        <v>360.6</v>
      </c>
      <c r="O641">
        <v>601</v>
      </c>
      <c r="P641">
        <v>0</v>
      </c>
      <c r="Q641">
        <v>0</v>
      </c>
      <c r="R641">
        <v>0</v>
      </c>
      <c r="S641">
        <v>240.4</v>
      </c>
      <c r="T641">
        <v>360.6</v>
      </c>
      <c r="U641">
        <v>0</v>
      </c>
      <c r="V641">
        <v>360.6</v>
      </c>
      <c r="W641" t="s">
        <v>51</v>
      </c>
      <c r="X641" s="6" t="s">
        <v>1001</v>
      </c>
    </row>
    <row r="642" spans="1:24" hidden="1" x14ac:dyDescent="0.25">
      <c r="A642" t="s">
        <v>1015</v>
      </c>
      <c r="B642" t="s">
        <v>94</v>
      </c>
      <c r="C642" t="s">
        <v>24</v>
      </c>
      <c r="D642">
        <v>40</v>
      </c>
      <c r="E642" t="s">
        <v>1013</v>
      </c>
      <c r="F642" t="s">
        <v>35</v>
      </c>
      <c r="G642" t="s">
        <v>36</v>
      </c>
      <c r="H642" t="str">
        <f>INDEX(Table1[Diagnosis],MATCH(I642,'codeand diagnosis'!$A$2:$A$11,0))</f>
        <v>Gingivitis</v>
      </c>
      <c r="I642" t="s">
        <v>27</v>
      </c>
      <c r="J642" t="str">
        <f>INDEX(Table1[ICD-10 Code],MATCH(Table2[[#This Row],[Treatment]],Table1[Treatment Type],0))</f>
        <v>K05.10</v>
      </c>
      <c r="K642" t="s">
        <v>28</v>
      </c>
      <c r="L642" t="s">
        <v>38</v>
      </c>
      <c r="M642" t="s">
        <v>29</v>
      </c>
      <c r="N642">
        <f>Table2[[#This Row],[Total Paid]]+Table2[[#This Row],[Due]]</f>
        <v>618</v>
      </c>
      <c r="O642">
        <v>618</v>
      </c>
      <c r="P642">
        <v>0</v>
      </c>
      <c r="Q642">
        <v>0</v>
      </c>
      <c r="R642">
        <v>0</v>
      </c>
      <c r="S642">
        <v>0</v>
      </c>
      <c r="T642">
        <v>618</v>
      </c>
      <c r="U642">
        <v>0</v>
      </c>
      <c r="V642">
        <v>618</v>
      </c>
      <c r="W642" t="s">
        <v>51</v>
      </c>
      <c r="X642" s="6" t="s">
        <v>1001</v>
      </c>
    </row>
    <row r="643" spans="1:24" hidden="1" x14ac:dyDescent="0.25">
      <c r="A643" t="s">
        <v>1016</v>
      </c>
      <c r="B643" t="s">
        <v>82</v>
      </c>
      <c r="C643" t="s">
        <v>24</v>
      </c>
      <c r="D643">
        <v>63</v>
      </c>
      <c r="E643" t="s">
        <v>1017</v>
      </c>
      <c r="F643" t="s">
        <v>132</v>
      </c>
      <c r="G643" t="s">
        <v>36</v>
      </c>
      <c r="H643" t="str">
        <f>INDEX(Table1[Diagnosis],MATCH(I643,'codeand diagnosis'!$A$2:$A$11,0))</f>
        <v>Dental examination with radiology</v>
      </c>
      <c r="I643" t="s">
        <v>37</v>
      </c>
      <c r="J643" t="str">
        <f>INDEX(Table1[ICD-10 Code],MATCH(Table2[[#This Row],[Treatment]],Table1[Treatment Type],0))</f>
        <v>Z01.2</v>
      </c>
      <c r="K643" t="s">
        <v>28</v>
      </c>
      <c r="L643" t="s">
        <v>38</v>
      </c>
      <c r="M643" t="s">
        <v>29</v>
      </c>
      <c r="N643">
        <f>Table2[[#This Row],[Total Paid]]+Table2[[#This Row],[Due]]</f>
        <v>350</v>
      </c>
      <c r="O643">
        <v>0</v>
      </c>
      <c r="P643">
        <v>150</v>
      </c>
      <c r="Q643">
        <v>200</v>
      </c>
      <c r="R643">
        <v>0</v>
      </c>
      <c r="S643">
        <v>0</v>
      </c>
      <c r="T643">
        <v>350</v>
      </c>
      <c r="U643">
        <v>0</v>
      </c>
      <c r="V643">
        <v>350</v>
      </c>
      <c r="W643" t="s">
        <v>47</v>
      </c>
      <c r="X643" s="6" t="s">
        <v>1001</v>
      </c>
    </row>
    <row r="644" spans="1:24" hidden="1" x14ac:dyDescent="0.25">
      <c r="A644" t="s">
        <v>1018</v>
      </c>
      <c r="B644" t="s">
        <v>63</v>
      </c>
      <c r="C644" t="s">
        <v>24</v>
      </c>
      <c r="D644">
        <v>55</v>
      </c>
      <c r="E644" t="s">
        <v>1019</v>
      </c>
      <c r="F644" t="s">
        <v>88</v>
      </c>
      <c r="G644" t="s">
        <v>26</v>
      </c>
      <c r="H644" t="str">
        <f>INDEX(Table1[Diagnosis],MATCH(I644,'codeand diagnosis'!$A$2:$A$11,0))</f>
        <v>Dental examination</v>
      </c>
      <c r="I644" t="s">
        <v>45</v>
      </c>
      <c r="J644" t="str">
        <f>INDEX(Table1[ICD-10 Code],MATCH(Table2[[#This Row],[Treatment]],Table1[Treatment Type],0))</f>
        <v>Z01.2</v>
      </c>
      <c r="K644" t="s">
        <v>38</v>
      </c>
      <c r="L644" t="s">
        <v>28</v>
      </c>
      <c r="M644" t="s">
        <v>29</v>
      </c>
      <c r="N644">
        <f>Table2[[#This Row],[Total Paid]]+Table2[[#This Row],[Due]]</f>
        <v>0</v>
      </c>
      <c r="O644">
        <v>0</v>
      </c>
      <c r="P644">
        <v>0</v>
      </c>
      <c r="Q644">
        <v>0</v>
      </c>
      <c r="R644">
        <v>0</v>
      </c>
      <c r="S644">
        <v>0</v>
      </c>
      <c r="T644">
        <v>0</v>
      </c>
      <c r="U644">
        <v>0</v>
      </c>
      <c r="V644">
        <v>0</v>
      </c>
      <c r="W644" t="s">
        <v>42</v>
      </c>
      <c r="X644" s="6" t="s">
        <v>1001</v>
      </c>
    </row>
    <row r="645" spans="1:24" hidden="1" x14ac:dyDescent="0.25">
      <c r="A645" t="s">
        <v>1020</v>
      </c>
      <c r="B645" t="s">
        <v>279</v>
      </c>
      <c r="C645" t="s">
        <v>34</v>
      </c>
      <c r="D645">
        <v>20</v>
      </c>
      <c r="E645" t="s">
        <v>1019</v>
      </c>
      <c r="F645" t="s">
        <v>50</v>
      </c>
      <c r="G645" t="s">
        <v>26</v>
      </c>
      <c r="H645" t="str">
        <f>INDEX(Table1[Diagnosis],MATCH(I645,'codeand diagnosis'!$A$2:$A$11,0))</f>
        <v>Cosmetic procedure</v>
      </c>
      <c r="I645" t="s">
        <v>55</v>
      </c>
      <c r="J645" t="str">
        <f>INDEX(Table1[ICD-10 Code],MATCH(Table2[[#This Row],[Treatment]],Table1[Treatment Type],0))</f>
        <v>Z41.1</v>
      </c>
      <c r="K645" t="s">
        <v>28</v>
      </c>
      <c r="L645" t="s">
        <v>28</v>
      </c>
      <c r="M645" t="s">
        <v>29</v>
      </c>
      <c r="N645">
        <f>Table2[[#This Row],[Total Paid]]+Table2[[#This Row],[Due]]</f>
        <v>1024</v>
      </c>
      <c r="O645">
        <v>1324</v>
      </c>
      <c r="P645">
        <v>0</v>
      </c>
      <c r="Q645">
        <v>0</v>
      </c>
      <c r="R645">
        <v>0</v>
      </c>
      <c r="S645">
        <v>300</v>
      </c>
      <c r="T645">
        <v>1024</v>
      </c>
      <c r="U645">
        <v>0</v>
      </c>
      <c r="V645">
        <v>1024</v>
      </c>
      <c r="W645" t="s">
        <v>42</v>
      </c>
      <c r="X645" s="6" t="s">
        <v>1001</v>
      </c>
    </row>
    <row r="646" spans="1:24" hidden="1" x14ac:dyDescent="0.25">
      <c r="A646" t="s">
        <v>1021</v>
      </c>
      <c r="B646" t="s">
        <v>167</v>
      </c>
      <c r="C646" t="s">
        <v>24</v>
      </c>
      <c r="D646">
        <v>74</v>
      </c>
      <c r="E646" t="s">
        <v>1022</v>
      </c>
      <c r="F646" t="s">
        <v>50</v>
      </c>
      <c r="G646" t="s">
        <v>26</v>
      </c>
      <c r="H646" t="str">
        <f>INDEX(Table1[Diagnosis],MATCH(I646,'codeand diagnosis'!$A$2:$A$11,0))</f>
        <v>Dental examination with radiology</v>
      </c>
      <c r="I646" t="s">
        <v>37</v>
      </c>
      <c r="J646" t="str">
        <f>INDEX(Table1[ICD-10 Code],MATCH(Table2[[#This Row],[Treatment]],Table1[Treatment Type],0))</f>
        <v>Z01.2</v>
      </c>
      <c r="K646" t="s">
        <v>38</v>
      </c>
      <c r="L646" t="s">
        <v>38</v>
      </c>
      <c r="M646" t="s">
        <v>29</v>
      </c>
      <c r="N646">
        <f>Table2[[#This Row],[Total Paid]]+Table2[[#This Row],[Due]]</f>
        <v>90</v>
      </c>
      <c r="O646">
        <v>0</v>
      </c>
      <c r="P646">
        <v>150</v>
      </c>
      <c r="Q646">
        <v>0</v>
      </c>
      <c r="R646">
        <v>0</v>
      </c>
      <c r="S646">
        <v>60</v>
      </c>
      <c r="T646">
        <v>90</v>
      </c>
      <c r="U646">
        <v>0</v>
      </c>
      <c r="V646">
        <v>90</v>
      </c>
      <c r="W646" t="s">
        <v>30</v>
      </c>
      <c r="X646" s="6" t="s">
        <v>1001</v>
      </c>
    </row>
    <row r="647" spans="1:24" hidden="1" x14ac:dyDescent="0.25">
      <c r="A647" t="s">
        <v>1023</v>
      </c>
      <c r="B647" t="s">
        <v>296</v>
      </c>
      <c r="C647" t="s">
        <v>24</v>
      </c>
      <c r="D647">
        <v>29</v>
      </c>
      <c r="E647" t="s">
        <v>1022</v>
      </c>
      <c r="F647" t="s">
        <v>50</v>
      </c>
      <c r="G647" t="s">
        <v>26</v>
      </c>
      <c r="H647" t="str">
        <f>INDEX(Table1[Diagnosis],MATCH(I647,'codeand diagnosis'!$A$2:$A$11,0))</f>
        <v>Dental examination with radiology</v>
      </c>
      <c r="I647" t="s">
        <v>37</v>
      </c>
      <c r="J647" t="str">
        <f>INDEX(Table1[ICD-10 Code],MATCH(Table2[[#This Row],[Treatment]],Table1[Treatment Type],0))</f>
        <v>Z01.2</v>
      </c>
      <c r="K647" t="s">
        <v>38</v>
      </c>
      <c r="L647" t="s">
        <v>38</v>
      </c>
      <c r="M647" t="s">
        <v>29</v>
      </c>
      <c r="N647">
        <f>Table2[[#This Row],[Total Paid]]+Table2[[#This Row],[Due]]</f>
        <v>90</v>
      </c>
      <c r="O647">
        <v>0</v>
      </c>
      <c r="P647">
        <v>150</v>
      </c>
      <c r="Q647">
        <v>0</v>
      </c>
      <c r="R647">
        <v>0</v>
      </c>
      <c r="S647">
        <v>60</v>
      </c>
      <c r="T647">
        <v>90</v>
      </c>
      <c r="U647">
        <v>0</v>
      </c>
      <c r="V647">
        <v>90</v>
      </c>
      <c r="W647" t="s">
        <v>51</v>
      </c>
      <c r="X647" s="6" t="s">
        <v>1001</v>
      </c>
    </row>
    <row r="648" spans="1:24" hidden="1" x14ac:dyDescent="0.25">
      <c r="A648" t="s">
        <v>1024</v>
      </c>
      <c r="B648" t="s">
        <v>131</v>
      </c>
      <c r="C648" t="s">
        <v>34</v>
      </c>
      <c r="D648">
        <v>20</v>
      </c>
      <c r="E648" t="s">
        <v>1025</v>
      </c>
      <c r="F648" t="s">
        <v>50</v>
      </c>
      <c r="G648" t="s">
        <v>36</v>
      </c>
      <c r="H648" t="str">
        <f>INDEX(Table1[Diagnosis],MATCH(I648,'codeand diagnosis'!$A$2:$A$11,0))</f>
        <v>Loss of teeth</v>
      </c>
      <c r="I648" t="s">
        <v>68</v>
      </c>
      <c r="J648" t="str">
        <f>INDEX(Table1[ICD-10 Code],MATCH(Table2[[#This Row],[Treatment]],Table1[Treatment Type],0))</f>
        <v>K08.1</v>
      </c>
      <c r="K648" t="s">
        <v>28</v>
      </c>
      <c r="L648" t="s">
        <v>38</v>
      </c>
      <c r="M648" t="s">
        <v>29</v>
      </c>
      <c r="N648">
        <f>Table2[[#This Row],[Total Paid]]+Table2[[#This Row],[Due]]</f>
        <v>676</v>
      </c>
      <c r="O648">
        <v>676</v>
      </c>
      <c r="P648">
        <v>0</v>
      </c>
      <c r="Q648">
        <v>0</v>
      </c>
      <c r="R648">
        <v>0</v>
      </c>
      <c r="S648">
        <v>0</v>
      </c>
      <c r="T648">
        <v>676</v>
      </c>
      <c r="U648">
        <v>0</v>
      </c>
      <c r="V648">
        <v>676</v>
      </c>
      <c r="W648" t="s">
        <v>42</v>
      </c>
      <c r="X648" s="6" t="s">
        <v>1001</v>
      </c>
    </row>
    <row r="649" spans="1:24" hidden="1" x14ac:dyDescent="0.25">
      <c r="A649" t="s">
        <v>1026</v>
      </c>
      <c r="B649" t="s">
        <v>151</v>
      </c>
      <c r="C649" t="s">
        <v>24</v>
      </c>
      <c r="D649">
        <v>52</v>
      </c>
      <c r="E649" t="s">
        <v>1027</v>
      </c>
      <c r="F649" t="s">
        <v>35</v>
      </c>
      <c r="G649" t="s">
        <v>26</v>
      </c>
      <c r="H649" t="str">
        <f>INDEX(Table1[Diagnosis],MATCH(I649,'codeand diagnosis'!$A$2:$A$11,0))</f>
        <v>Cosmetic procedure</v>
      </c>
      <c r="I649" t="s">
        <v>55</v>
      </c>
      <c r="J649" t="str">
        <f>INDEX(Table1[ICD-10 Code],MATCH(Table2[[#This Row],[Treatment]],Table1[Treatment Type],0))</f>
        <v>Z41.1</v>
      </c>
      <c r="K649" t="s">
        <v>28</v>
      </c>
      <c r="L649" t="s">
        <v>38</v>
      </c>
      <c r="M649" t="s">
        <v>29</v>
      </c>
      <c r="N649">
        <f>Table2[[#This Row],[Total Paid]]+Table2[[#This Row],[Due]]</f>
        <v>1677</v>
      </c>
      <c r="O649">
        <v>1677</v>
      </c>
      <c r="P649">
        <v>0</v>
      </c>
      <c r="Q649">
        <v>0</v>
      </c>
      <c r="R649">
        <v>0</v>
      </c>
      <c r="S649">
        <v>0</v>
      </c>
      <c r="T649">
        <v>1677</v>
      </c>
      <c r="U649">
        <v>0</v>
      </c>
      <c r="V649">
        <v>1677</v>
      </c>
      <c r="W649" t="s">
        <v>51</v>
      </c>
      <c r="X649" s="6" t="s">
        <v>1001</v>
      </c>
    </row>
    <row r="650" spans="1:24" hidden="1" x14ac:dyDescent="0.25">
      <c r="A650" t="s">
        <v>1028</v>
      </c>
      <c r="B650" t="s">
        <v>224</v>
      </c>
      <c r="C650" t="s">
        <v>34</v>
      </c>
      <c r="D650">
        <v>62</v>
      </c>
      <c r="E650" t="s">
        <v>1029</v>
      </c>
      <c r="F650" t="s">
        <v>88</v>
      </c>
      <c r="G650" t="s">
        <v>36</v>
      </c>
      <c r="H650" t="str">
        <f>INDEX(Table1[Diagnosis],MATCH(I650,'codeand diagnosis'!$A$2:$A$11,0))</f>
        <v>Dental examination</v>
      </c>
      <c r="I650" t="s">
        <v>45</v>
      </c>
      <c r="J650" t="str">
        <f>INDEX(Table1[ICD-10 Code],MATCH(Table2[[#This Row],[Treatment]],Table1[Treatment Type],0))</f>
        <v>Z01.2</v>
      </c>
      <c r="K650" t="s">
        <v>28</v>
      </c>
      <c r="L650" t="s">
        <v>28</v>
      </c>
      <c r="M650" t="s">
        <v>29</v>
      </c>
      <c r="N650">
        <f>Table2[[#This Row],[Total Paid]]+Table2[[#This Row],[Due]]</f>
        <v>200</v>
      </c>
      <c r="O650">
        <v>0</v>
      </c>
      <c r="P650">
        <v>0</v>
      </c>
      <c r="Q650">
        <v>200</v>
      </c>
      <c r="R650">
        <v>0</v>
      </c>
      <c r="S650">
        <v>0</v>
      </c>
      <c r="T650">
        <v>200</v>
      </c>
      <c r="U650">
        <v>0</v>
      </c>
      <c r="V650">
        <v>200</v>
      </c>
      <c r="W650" t="s">
        <v>42</v>
      </c>
      <c r="X650" s="6" t="s">
        <v>1001</v>
      </c>
    </row>
    <row r="651" spans="1:24" hidden="1" x14ac:dyDescent="0.25">
      <c r="A651" t="s">
        <v>1030</v>
      </c>
      <c r="B651" t="s">
        <v>194</v>
      </c>
      <c r="C651" t="s">
        <v>34</v>
      </c>
      <c r="D651">
        <v>33</v>
      </c>
      <c r="E651" t="s">
        <v>1029</v>
      </c>
      <c r="F651" t="s">
        <v>50</v>
      </c>
      <c r="G651" t="s">
        <v>26</v>
      </c>
      <c r="H651" t="str">
        <f>INDEX(Table1[Diagnosis],MATCH(I651,'codeand diagnosis'!$A$2:$A$11,0))</f>
        <v>Pulpitis</v>
      </c>
      <c r="I651" t="s">
        <v>111</v>
      </c>
      <c r="J651" t="str">
        <f>INDEX(Table1[ICD-10 Code],MATCH(Table2[[#This Row],[Treatment]],Table1[Treatment Type],0))</f>
        <v>K04.0</v>
      </c>
      <c r="K651" t="s">
        <v>28</v>
      </c>
      <c r="L651" t="s">
        <v>38</v>
      </c>
      <c r="M651" t="s">
        <v>29</v>
      </c>
      <c r="N651">
        <f>Table2[[#This Row],[Total Paid]]+Table2[[#This Row],[Due]]</f>
        <v>3459</v>
      </c>
      <c r="O651">
        <v>3459</v>
      </c>
      <c r="P651">
        <v>0</v>
      </c>
      <c r="Q651">
        <v>0</v>
      </c>
      <c r="R651">
        <v>0</v>
      </c>
      <c r="S651">
        <v>0</v>
      </c>
      <c r="T651">
        <v>3459</v>
      </c>
      <c r="U651">
        <v>0</v>
      </c>
      <c r="V651">
        <v>3459</v>
      </c>
      <c r="W651" t="s">
        <v>51</v>
      </c>
      <c r="X651" s="6" t="s">
        <v>1001</v>
      </c>
    </row>
    <row r="652" spans="1:24" hidden="1" x14ac:dyDescent="0.25">
      <c r="A652" t="s">
        <v>1031</v>
      </c>
      <c r="B652" t="s">
        <v>296</v>
      </c>
      <c r="C652" t="s">
        <v>24</v>
      </c>
      <c r="D652">
        <v>43</v>
      </c>
      <c r="E652" t="s">
        <v>1029</v>
      </c>
      <c r="F652" t="s">
        <v>88</v>
      </c>
      <c r="G652" t="s">
        <v>36</v>
      </c>
      <c r="H652" t="str">
        <f>INDEX(Table1[Diagnosis],MATCH(I652,'codeand diagnosis'!$A$2:$A$11,0))</f>
        <v>Dental examination with radiology</v>
      </c>
      <c r="I652" t="s">
        <v>37</v>
      </c>
      <c r="J652" t="str">
        <f>INDEX(Table1[ICD-10 Code],MATCH(Table2[[#This Row],[Treatment]],Table1[Treatment Type],0))</f>
        <v>Z01.2</v>
      </c>
      <c r="K652" t="s">
        <v>28</v>
      </c>
      <c r="L652" t="s">
        <v>38</v>
      </c>
      <c r="M652" t="s">
        <v>29</v>
      </c>
      <c r="N652">
        <f>Table2[[#This Row],[Total Paid]]+Table2[[#This Row],[Due]]</f>
        <v>210</v>
      </c>
      <c r="O652">
        <v>0</v>
      </c>
      <c r="P652">
        <v>150</v>
      </c>
      <c r="Q652">
        <v>200</v>
      </c>
      <c r="R652">
        <v>0</v>
      </c>
      <c r="S652">
        <v>140</v>
      </c>
      <c r="T652">
        <v>210</v>
      </c>
      <c r="U652">
        <v>0</v>
      </c>
      <c r="V652">
        <v>210</v>
      </c>
      <c r="W652" t="s">
        <v>30</v>
      </c>
      <c r="X652" s="6" t="s">
        <v>1001</v>
      </c>
    </row>
    <row r="653" spans="1:24" hidden="1" x14ac:dyDescent="0.25">
      <c r="A653" t="s">
        <v>1032</v>
      </c>
      <c r="B653" t="s">
        <v>98</v>
      </c>
      <c r="C653" t="s">
        <v>24</v>
      </c>
      <c r="D653">
        <v>41</v>
      </c>
      <c r="E653" t="s">
        <v>1033</v>
      </c>
      <c r="F653" t="s">
        <v>35</v>
      </c>
      <c r="G653" t="s">
        <v>26</v>
      </c>
      <c r="H653" t="str">
        <f>INDEX(Table1[Diagnosis],MATCH(I653,'codeand diagnosis'!$A$2:$A$11,0))</f>
        <v>Dental examination with radiology</v>
      </c>
      <c r="I653" t="s">
        <v>37</v>
      </c>
      <c r="J653" t="str">
        <f>INDEX(Table1[ICD-10 Code],MATCH(Table2[[#This Row],[Treatment]],Table1[Treatment Type],0))</f>
        <v>Z01.2</v>
      </c>
      <c r="K653" t="s">
        <v>28</v>
      </c>
      <c r="L653" t="s">
        <v>38</v>
      </c>
      <c r="M653" t="s">
        <v>29</v>
      </c>
      <c r="N653">
        <f>Table2[[#This Row],[Total Paid]]+Table2[[#This Row],[Due]]</f>
        <v>350</v>
      </c>
      <c r="O653">
        <v>0</v>
      </c>
      <c r="P653">
        <v>150</v>
      </c>
      <c r="Q653">
        <v>200</v>
      </c>
      <c r="R653">
        <v>0</v>
      </c>
      <c r="S653">
        <v>0</v>
      </c>
      <c r="T653">
        <v>350</v>
      </c>
      <c r="U653">
        <v>0</v>
      </c>
      <c r="V653">
        <v>350</v>
      </c>
      <c r="W653" t="s">
        <v>51</v>
      </c>
      <c r="X653" s="6" t="s">
        <v>1001</v>
      </c>
    </row>
    <row r="654" spans="1:24" hidden="1" x14ac:dyDescent="0.25">
      <c r="A654" t="s">
        <v>1034</v>
      </c>
      <c r="B654" t="s">
        <v>171</v>
      </c>
      <c r="C654" t="s">
        <v>24</v>
      </c>
      <c r="D654">
        <v>47</v>
      </c>
      <c r="E654" t="s">
        <v>1035</v>
      </c>
      <c r="F654" t="s">
        <v>132</v>
      </c>
      <c r="G654" t="s">
        <v>26</v>
      </c>
      <c r="H654" t="str">
        <f>INDEX(Table1[Diagnosis],MATCH(I654,'codeand diagnosis'!$A$2:$A$11,0))</f>
        <v>Dental examination</v>
      </c>
      <c r="I654" t="s">
        <v>45</v>
      </c>
      <c r="J654" t="str">
        <f>INDEX(Table1[ICD-10 Code],MATCH(Table2[[#This Row],[Treatment]],Table1[Treatment Type],0))</f>
        <v>Z01.2</v>
      </c>
      <c r="K654" t="s">
        <v>28</v>
      </c>
      <c r="L654" t="s">
        <v>28</v>
      </c>
      <c r="M654" t="s">
        <v>29</v>
      </c>
      <c r="N654">
        <f>Table2[[#This Row],[Total Paid]]+Table2[[#This Row],[Due]]</f>
        <v>200</v>
      </c>
      <c r="O654">
        <v>0</v>
      </c>
      <c r="P654">
        <v>0</v>
      </c>
      <c r="Q654">
        <v>200</v>
      </c>
      <c r="R654">
        <v>0</v>
      </c>
      <c r="S654">
        <v>0</v>
      </c>
      <c r="T654">
        <v>200</v>
      </c>
      <c r="U654">
        <v>0</v>
      </c>
      <c r="V654">
        <v>200</v>
      </c>
      <c r="W654" t="s">
        <v>47</v>
      </c>
      <c r="X654" s="6" t="s">
        <v>1001</v>
      </c>
    </row>
    <row r="655" spans="1:24" hidden="1" x14ac:dyDescent="0.25">
      <c r="A655" t="s">
        <v>1036</v>
      </c>
      <c r="B655" t="s">
        <v>67</v>
      </c>
      <c r="C655" t="s">
        <v>24</v>
      </c>
      <c r="D655">
        <v>63</v>
      </c>
      <c r="E655" t="s">
        <v>1037</v>
      </c>
      <c r="F655" t="s">
        <v>35</v>
      </c>
      <c r="G655" t="s">
        <v>26</v>
      </c>
      <c r="H655" t="str">
        <f>INDEX(Table1[Diagnosis],MATCH(I655,'codeand diagnosis'!$A$2:$A$11,0))</f>
        <v>Dental examination</v>
      </c>
      <c r="I655" t="s">
        <v>45</v>
      </c>
      <c r="J655" t="str">
        <f>INDEX(Table1[ICD-10 Code],MATCH(Table2[[#This Row],[Treatment]],Table1[Treatment Type],0))</f>
        <v>Z01.2</v>
      </c>
      <c r="K655" t="s">
        <v>28</v>
      </c>
      <c r="L655" t="s">
        <v>28</v>
      </c>
      <c r="M655" t="s">
        <v>29</v>
      </c>
      <c r="N655">
        <f>Table2[[#This Row],[Total Paid]]+Table2[[#This Row],[Due]]</f>
        <v>200</v>
      </c>
      <c r="O655">
        <v>0</v>
      </c>
      <c r="P655">
        <v>0</v>
      </c>
      <c r="Q655">
        <v>200</v>
      </c>
      <c r="R655">
        <v>0</v>
      </c>
      <c r="S655">
        <v>0</v>
      </c>
      <c r="T655">
        <v>200</v>
      </c>
      <c r="U655">
        <v>0</v>
      </c>
      <c r="V655">
        <v>200</v>
      </c>
      <c r="W655" t="s">
        <v>30</v>
      </c>
      <c r="X655" s="6" t="s">
        <v>1001</v>
      </c>
    </row>
    <row r="656" spans="1:24" hidden="1" x14ac:dyDescent="0.25">
      <c r="A656" t="s">
        <v>1038</v>
      </c>
      <c r="B656" t="s">
        <v>365</v>
      </c>
      <c r="C656" t="s">
        <v>24</v>
      </c>
      <c r="D656">
        <v>15</v>
      </c>
      <c r="E656" t="s">
        <v>1037</v>
      </c>
      <c r="F656" t="s">
        <v>60</v>
      </c>
      <c r="G656" t="s">
        <v>26</v>
      </c>
      <c r="H656" t="str">
        <f>INDEX(Table1[Diagnosis],MATCH(I656,'codeand diagnosis'!$A$2:$A$11,0))</f>
        <v>Dental examination</v>
      </c>
      <c r="I656" t="s">
        <v>45</v>
      </c>
      <c r="J656" t="str">
        <f>INDEX(Table1[ICD-10 Code],MATCH(Table2[[#This Row],[Treatment]],Table1[Treatment Type],0))</f>
        <v>Z01.2</v>
      </c>
      <c r="K656" t="s">
        <v>38</v>
      </c>
      <c r="L656" t="s">
        <v>28</v>
      </c>
      <c r="M656" t="s">
        <v>61</v>
      </c>
      <c r="N656">
        <f>Table2[[#This Row],[Total Paid]]+Table2[[#This Row],[Due]]</f>
        <v>0</v>
      </c>
      <c r="O656">
        <v>0</v>
      </c>
      <c r="P656">
        <v>0</v>
      </c>
      <c r="Q656">
        <v>0</v>
      </c>
      <c r="R656">
        <v>0</v>
      </c>
      <c r="S656">
        <v>0</v>
      </c>
      <c r="T656">
        <v>0</v>
      </c>
      <c r="U656">
        <v>0</v>
      </c>
      <c r="V656">
        <v>0</v>
      </c>
      <c r="W656" t="s">
        <v>42</v>
      </c>
      <c r="X656" s="6" t="s">
        <v>1001</v>
      </c>
    </row>
    <row r="657" spans="1:24" hidden="1" x14ac:dyDescent="0.25">
      <c r="A657" t="s">
        <v>1039</v>
      </c>
      <c r="B657" t="s">
        <v>65</v>
      </c>
      <c r="C657" t="s">
        <v>24</v>
      </c>
      <c r="D657">
        <v>60</v>
      </c>
      <c r="E657" t="s">
        <v>1040</v>
      </c>
      <c r="F657" t="s">
        <v>35</v>
      </c>
      <c r="G657" t="s">
        <v>26</v>
      </c>
      <c r="H657" t="str">
        <f>INDEX(Table1[Diagnosis],MATCH(I657,'codeand diagnosis'!$A$2:$A$11,0))</f>
        <v>Dental examination</v>
      </c>
      <c r="I657" t="s">
        <v>45</v>
      </c>
      <c r="J657" t="str">
        <f>INDEX(Table1[ICD-10 Code],MATCH(Table2[[#This Row],[Treatment]],Table1[Treatment Type],0))</f>
        <v>Z01.2</v>
      </c>
      <c r="K657" t="s">
        <v>38</v>
      </c>
      <c r="L657" t="s">
        <v>28</v>
      </c>
      <c r="M657" t="s">
        <v>29</v>
      </c>
      <c r="N657">
        <f>Table2[[#This Row],[Total Paid]]+Table2[[#This Row],[Due]]</f>
        <v>0</v>
      </c>
      <c r="O657">
        <v>0</v>
      </c>
      <c r="P657">
        <v>0</v>
      </c>
      <c r="Q657">
        <v>0</v>
      </c>
      <c r="R657">
        <v>0</v>
      </c>
      <c r="S657">
        <v>0</v>
      </c>
      <c r="T657">
        <v>0</v>
      </c>
      <c r="U657">
        <v>0</v>
      </c>
      <c r="V657">
        <v>0</v>
      </c>
      <c r="W657" t="s">
        <v>30</v>
      </c>
      <c r="X657" s="6" t="s">
        <v>1001</v>
      </c>
    </row>
    <row r="658" spans="1:24" hidden="1" x14ac:dyDescent="0.25">
      <c r="A658" t="s">
        <v>1041</v>
      </c>
      <c r="B658" t="s">
        <v>294</v>
      </c>
      <c r="C658" t="s">
        <v>34</v>
      </c>
      <c r="D658">
        <v>19</v>
      </c>
      <c r="E658" t="s">
        <v>1040</v>
      </c>
      <c r="F658" t="s">
        <v>50</v>
      </c>
      <c r="G658" t="s">
        <v>36</v>
      </c>
      <c r="H658" t="str">
        <f>INDEX(Table1[Diagnosis],MATCH(I658,'codeand diagnosis'!$A$2:$A$11,0))</f>
        <v>Dental examination</v>
      </c>
      <c r="I658" t="s">
        <v>45</v>
      </c>
      <c r="J658" t="str">
        <f>INDEX(Table1[ICD-10 Code],MATCH(Table2[[#This Row],[Treatment]],Table1[Treatment Type],0))</f>
        <v>Z01.2</v>
      </c>
      <c r="K658" t="s">
        <v>28</v>
      </c>
      <c r="L658" t="s">
        <v>28</v>
      </c>
      <c r="M658" t="s">
        <v>29</v>
      </c>
      <c r="N658">
        <f>Table2[[#This Row],[Total Paid]]+Table2[[#This Row],[Due]]</f>
        <v>200</v>
      </c>
      <c r="O658">
        <v>0</v>
      </c>
      <c r="P658">
        <v>0</v>
      </c>
      <c r="Q658">
        <v>200</v>
      </c>
      <c r="R658">
        <v>0</v>
      </c>
      <c r="S658">
        <v>0</v>
      </c>
      <c r="T658">
        <v>200</v>
      </c>
      <c r="U658">
        <v>0</v>
      </c>
      <c r="V658">
        <v>200</v>
      </c>
      <c r="W658" t="s">
        <v>30</v>
      </c>
      <c r="X658" s="6" t="s">
        <v>1001</v>
      </c>
    </row>
    <row r="659" spans="1:24" x14ac:dyDescent="0.25">
      <c r="A659" t="s">
        <v>1042</v>
      </c>
      <c r="B659" t="s">
        <v>59</v>
      </c>
      <c r="C659" t="s">
        <v>34</v>
      </c>
      <c r="D659">
        <v>5</v>
      </c>
      <c r="E659" t="s">
        <v>1043</v>
      </c>
      <c r="F659" t="s">
        <v>35</v>
      </c>
      <c r="G659" t="s">
        <v>26</v>
      </c>
      <c r="H659" t="str">
        <f>INDEX(Table1[Diagnosis],MATCH(I659,'codeand diagnosis'!$A$2:$A$11,0))</f>
        <v>Malocclusion</v>
      </c>
      <c r="I659" t="s">
        <v>89</v>
      </c>
      <c r="J659" t="str">
        <f>INDEX(Table1[ICD-10 Code],MATCH(Table2[[#This Row],[Treatment]],Table1[Treatment Type],0))</f>
        <v>K07.4</v>
      </c>
      <c r="K659" t="s">
        <v>28</v>
      </c>
      <c r="L659" t="s">
        <v>28</v>
      </c>
      <c r="M659" t="s">
        <v>29</v>
      </c>
      <c r="N659">
        <f>Table2[[#This Row],[Total Paid]]+Table2[[#This Row],[Due]]</f>
        <v>18029</v>
      </c>
      <c r="O659">
        <v>19529</v>
      </c>
      <c r="P659">
        <v>0</v>
      </c>
      <c r="Q659">
        <v>0</v>
      </c>
      <c r="R659">
        <v>4950</v>
      </c>
      <c r="S659">
        <v>1500</v>
      </c>
      <c r="T659">
        <v>18029</v>
      </c>
      <c r="U659">
        <v>0</v>
      </c>
      <c r="V659">
        <v>13079</v>
      </c>
      <c r="W659" t="s">
        <v>51</v>
      </c>
      <c r="X659" s="6" t="s">
        <v>1001</v>
      </c>
    </row>
    <row r="660" spans="1:24" hidden="1" x14ac:dyDescent="0.25">
      <c r="A660" t="s">
        <v>1044</v>
      </c>
      <c r="B660" t="s">
        <v>279</v>
      </c>
      <c r="C660" t="s">
        <v>34</v>
      </c>
      <c r="D660">
        <v>19</v>
      </c>
      <c r="E660" t="s">
        <v>1043</v>
      </c>
      <c r="F660" t="s">
        <v>35</v>
      </c>
      <c r="G660" t="s">
        <v>26</v>
      </c>
      <c r="H660" t="str">
        <f>INDEX(Table1[Diagnosis],MATCH(I660,'codeand diagnosis'!$A$2:$A$11,0))</f>
        <v>Dental examination</v>
      </c>
      <c r="I660" t="s">
        <v>45</v>
      </c>
      <c r="J660" t="str">
        <f>INDEX(Table1[ICD-10 Code],MATCH(Table2[[#This Row],[Treatment]],Table1[Treatment Type],0))</f>
        <v>Z01.2</v>
      </c>
      <c r="K660" t="s">
        <v>28</v>
      </c>
      <c r="L660" t="s">
        <v>28</v>
      </c>
      <c r="M660" t="s">
        <v>29</v>
      </c>
      <c r="N660">
        <f>Table2[[#This Row],[Total Paid]]+Table2[[#This Row],[Due]]</f>
        <v>200</v>
      </c>
      <c r="O660">
        <v>0</v>
      </c>
      <c r="P660">
        <v>0</v>
      </c>
      <c r="Q660">
        <v>200</v>
      </c>
      <c r="R660">
        <v>0</v>
      </c>
      <c r="S660">
        <v>0</v>
      </c>
      <c r="T660">
        <v>200</v>
      </c>
      <c r="U660">
        <v>0</v>
      </c>
      <c r="V660">
        <v>200</v>
      </c>
      <c r="W660" t="s">
        <v>51</v>
      </c>
      <c r="X660" s="6" t="s">
        <v>1001</v>
      </c>
    </row>
    <row r="661" spans="1:24" hidden="1" x14ac:dyDescent="0.25">
      <c r="A661" t="s">
        <v>1045</v>
      </c>
      <c r="B661" t="s">
        <v>125</v>
      </c>
      <c r="C661" t="s">
        <v>34</v>
      </c>
      <c r="D661">
        <v>20</v>
      </c>
      <c r="E661" t="s">
        <v>1043</v>
      </c>
      <c r="F661" t="s">
        <v>54</v>
      </c>
      <c r="G661" t="s">
        <v>36</v>
      </c>
      <c r="H661" t="str">
        <f>INDEX(Table1[Diagnosis],MATCH(I661,'codeand diagnosis'!$A$2:$A$11,0))</f>
        <v>Dental examination</v>
      </c>
      <c r="I661" t="s">
        <v>45</v>
      </c>
      <c r="J661" t="str">
        <f>INDEX(Table1[ICD-10 Code],MATCH(Table2[[#This Row],[Treatment]],Table1[Treatment Type],0))</f>
        <v>Z01.2</v>
      </c>
      <c r="K661" t="s">
        <v>28</v>
      </c>
      <c r="L661" t="s">
        <v>28</v>
      </c>
      <c r="M661" t="s">
        <v>29</v>
      </c>
      <c r="N661">
        <f>Table2[[#This Row],[Total Paid]]+Table2[[#This Row],[Due]]</f>
        <v>200</v>
      </c>
      <c r="O661">
        <v>0</v>
      </c>
      <c r="P661">
        <v>0</v>
      </c>
      <c r="Q661">
        <v>200</v>
      </c>
      <c r="R661">
        <v>0</v>
      </c>
      <c r="S661">
        <v>0</v>
      </c>
      <c r="T661">
        <v>200</v>
      </c>
      <c r="U661">
        <v>0</v>
      </c>
      <c r="V661">
        <v>200</v>
      </c>
      <c r="W661" t="s">
        <v>51</v>
      </c>
      <c r="X661" s="6" t="s">
        <v>1001</v>
      </c>
    </row>
    <row r="662" spans="1:24" hidden="1" x14ac:dyDescent="0.25">
      <c r="A662" t="s">
        <v>1046</v>
      </c>
      <c r="B662" t="s">
        <v>125</v>
      </c>
      <c r="C662" t="s">
        <v>34</v>
      </c>
      <c r="D662">
        <v>57</v>
      </c>
      <c r="E662" s="1">
        <v>45357</v>
      </c>
      <c r="F662" t="s">
        <v>35</v>
      </c>
      <c r="G662" t="s">
        <v>26</v>
      </c>
      <c r="H662" t="str">
        <f>INDEX(Table1[Diagnosis],MATCH(I662,'codeand diagnosis'!$A$2:$A$11,0))</f>
        <v>Dental examination</v>
      </c>
      <c r="I662" t="s">
        <v>45</v>
      </c>
      <c r="J662" t="str">
        <f>INDEX(Table1[ICD-10 Code],MATCH(Table2[[#This Row],[Treatment]],Table1[Treatment Type],0))</f>
        <v>Z01.2</v>
      </c>
      <c r="K662" t="s">
        <v>38</v>
      </c>
      <c r="L662" t="s">
        <v>28</v>
      </c>
      <c r="M662" t="s">
        <v>29</v>
      </c>
      <c r="N662">
        <f>Table2[[#This Row],[Total Paid]]+Table2[[#This Row],[Due]]</f>
        <v>0</v>
      </c>
      <c r="O662">
        <v>0</v>
      </c>
      <c r="P662">
        <v>0</v>
      </c>
      <c r="Q662">
        <v>0</v>
      </c>
      <c r="R662">
        <v>0</v>
      </c>
      <c r="S662">
        <v>0</v>
      </c>
      <c r="T662">
        <v>0</v>
      </c>
      <c r="U662">
        <v>0</v>
      </c>
      <c r="V662">
        <v>0</v>
      </c>
      <c r="W662" t="s">
        <v>51</v>
      </c>
      <c r="X662" s="6" t="s">
        <v>1047</v>
      </c>
    </row>
    <row r="663" spans="1:24" hidden="1" x14ac:dyDescent="0.25">
      <c r="A663" t="s">
        <v>1048</v>
      </c>
      <c r="B663" t="s">
        <v>374</v>
      </c>
      <c r="C663" t="s">
        <v>34</v>
      </c>
      <c r="D663">
        <v>19</v>
      </c>
      <c r="E663" s="1">
        <v>45357</v>
      </c>
      <c r="F663" t="s">
        <v>35</v>
      </c>
      <c r="G663" t="s">
        <v>26</v>
      </c>
      <c r="H663" t="str">
        <f>INDEX(Table1[Diagnosis],MATCH(I663,'codeand diagnosis'!$A$2:$A$11,0))</f>
        <v>Dental examination</v>
      </c>
      <c r="I663" t="s">
        <v>45</v>
      </c>
      <c r="J663" t="str">
        <f>INDEX(Table1[ICD-10 Code],MATCH(Table2[[#This Row],[Treatment]],Table1[Treatment Type],0))</f>
        <v>Z01.2</v>
      </c>
      <c r="K663" t="s">
        <v>38</v>
      </c>
      <c r="L663" t="s">
        <v>28</v>
      </c>
      <c r="M663" t="s">
        <v>29</v>
      </c>
      <c r="N663">
        <f>Table2[[#This Row],[Total Paid]]+Table2[[#This Row],[Due]]</f>
        <v>0</v>
      </c>
      <c r="O663">
        <v>0</v>
      </c>
      <c r="P663">
        <v>0</v>
      </c>
      <c r="Q663">
        <v>0</v>
      </c>
      <c r="R663">
        <v>0</v>
      </c>
      <c r="S663">
        <v>0</v>
      </c>
      <c r="T663">
        <v>0</v>
      </c>
      <c r="U663">
        <v>0</v>
      </c>
      <c r="V663">
        <v>0</v>
      </c>
      <c r="W663" t="s">
        <v>51</v>
      </c>
      <c r="X663" s="6" t="s">
        <v>1047</v>
      </c>
    </row>
    <row r="664" spans="1:24" hidden="1" x14ac:dyDescent="0.25">
      <c r="A664" t="s">
        <v>1049</v>
      </c>
      <c r="B664" t="s">
        <v>171</v>
      </c>
      <c r="C664" t="s">
        <v>24</v>
      </c>
      <c r="D664">
        <v>48</v>
      </c>
      <c r="E664" s="1">
        <v>45388</v>
      </c>
      <c r="F664" t="s">
        <v>50</v>
      </c>
      <c r="G664" t="s">
        <v>26</v>
      </c>
      <c r="H664" t="str">
        <f>INDEX(Table1[Diagnosis],MATCH(I664,'codeand diagnosis'!$A$2:$A$11,0))</f>
        <v>Dental examination with radiology</v>
      </c>
      <c r="I664" t="s">
        <v>37</v>
      </c>
      <c r="J664" t="str">
        <f>INDEX(Table1[ICD-10 Code],MATCH(Table2[[#This Row],[Treatment]],Table1[Treatment Type],0))</f>
        <v>Z01.2</v>
      </c>
      <c r="K664" t="s">
        <v>28</v>
      </c>
      <c r="L664" t="s">
        <v>38</v>
      </c>
      <c r="M664" t="s">
        <v>29</v>
      </c>
      <c r="N664">
        <f>Table2[[#This Row],[Total Paid]]+Table2[[#This Row],[Due]]</f>
        <v>210</v>
      </c>
      <c r="O664">
        <v>0</v>
      </c>
      <c r="P664">
        <v>150</v>
      </c>
      <c r="Q664">
        <v>200</v>
      </c>
      <c r="R664">
        <v>0</v>
      </c>
      <c r="S664">
        <v>140</v>
      </c>
      <c r="T664">
        <v>210</v>
      </c>
      <c r="U664">
        <v>0</v>
      </c>
      <c r="V664">
        <v>210</v>
      </c>
      <c r="W664" t="s">
        <v>42</v>
      </c>
      <c r="X664" s="6" t="s">
        <v>1047</v>
      </c>
    </row>
    <row r="665" spans="1:24" hidden="1" x14ac:dyDescent="0.25">
      <c r="A665" t="s">
        <v>1050</v>
      </c>
      <c r="B665" t="s">
        <v>65</v>
      </c>
      <c r="C665" t="s">
        <v>24</v>
      </c>
      <c r="D665">
        <v>32</v>
      </c>
      <c r="E665" s="1">
        <v>45418</v>
      </c>
      <c r="F665" t="s">
        <v>54</v>
      </c>
      <c r="G665" t="s">
        <v>26</v>
      </c>
      <c r="H665" t="str">
        <f>INDEX(Table1[Diagnosis],MATCH(I665,'codeand diagnosis'!$A$2:$A$11,0))</f>
        <v>Dental examination with radiology</v>
      </c>
      <c r="I665" t="s">
        <v>37</v>
      </c>
      <c r="J665" t="str">
        <f>INDEX(Table1[ICD-10 Code],MATCH(Table2[[#This Row],[Treatment]],Table1[Treatment Type],0))</f>
        <v>Z01.2</v>
      </c>
      <c r="K665" t="s">
        <v>28</v>
      </c>
      <c r="L665" t="s">
        <v>38</v>
      </c>
      <c r="M665" t="s">
        <v>46</v>
      </c>
      <c r="N665">
        <f>Table2[[#This Row],[Total Paid]]+Table2[[#This Row],[Due]]</f>
        <v>210</v>
      </c>
      <c r="O665">
        <v>0</v>
      </c>
      <c r="P665">
        <v>150</v>
      </c>
      <c r="Q665">
        <v>200</v>
      </c>
      <c r="R665">
        <v>0</v>
      </c>
      <c r="S665">
        <v>140</v>
      </c>
      <c r="T665">
        <v>210</v>
      </c>
      <c r="U665">
        <v>0</v>
      </c>
      <c r="V665">
        <v>210</v>
      </c>
      <c r="W665" t="s">
        <v>47</v>
      </c>
      <c r="X665" s="6" t="s">
        <v>1047</v>
      </c>
    </row>
    <row r="666" spans="1:24" hidden="1" x14ac:dyDescent="0.25">
      <c r="A666" t="s">
        <v>1051</v>
      </c>
      <c r="B666" t="s">
        <v>531</v>
      </c>
      <c r="C666" t="s">
        <v>34</v>
      </c>
      <c r="D666">
        <v>21</v>
      </c>
      <c r="E666" s="1">
        <v>45449</v>
      </c>
      <c r="F666" t="s">
        <v>35</v>
      </c>
      <c r="G666" t="s">
        <v>26</v>
      </c>
      <c r="H666" t="str">
        <f>INDEX(Table1[Diagnosis],MATCH(I666,'codeand diagnosis'!$A$2:$A$11,0))</f>
        <v>Dental examination with radiology</v>
      </c>
      <c r="I666" t="s">
        <v>37</v>
      </c>
      <c r="J666" t="str">
        <f>INDEX(Table1[ICD-10 Code],MATCH(Table2[[#This Row],[Treatment]],Table1[Treatment Type],0))</f>
        <v>Z01.2</v>
      </c>
      <c r="K666" t="s">
        <v>28</v>
      </c>
      <c r="L666" t="s">
        <v>38</v>
      </c>
      <c r="M666" t="s">
        <v>29</v>
      </c>
      <c r="N666">
        <f>Table2[[#This Row],[Total Paid]]+Table2[[#This Row],[Due]]</f>
        <v>350</v>
      </c>
      <c r="O666">
        <v>0</v>
      </c>
      <c r="P666">
        <v>150</v>
      </c>
      <c r="Q666">
        <v>200</v>
      </c>
      <c r="R666">
        <v>0</v>
      </c>
      <c r="S666">
        <v>0</v>
      </c>
      <c r="T666">
        <v>350</v>
      </c>
      <c r="U666">
        <v>0</v>
      </c>
      <c r="V666">
        <v>350</v>
      </c>
      <c r="W666" t="s">
        <v>47</v>
      </c>
      <c r="X666" s="6" t="s">
        <v>1047</v>
      </c>
    </row>
    <row r="667" spans="1:24" hidden="1" x14ac:dyDescent="0.25">
      <c r="A667" t="s">
        <v>1052</v>
      </c>
      <c r="B667" t="s">
        <v>531</v>
      </c>
      <c r="C667" t="s">
        <v>34</v>
      </c>
      <c r="D667">
        <v>43</v>
      </c>
      <c r="E667" s="1">
        <v>45479</v>
      </c>
      <c r="F667" t="s">
        <v>88</v>
      </c>
      <c r="G667" t="s">
        <v>36</v>
      </c>
      <c r="H667" t="str">
        <f>INDEX(Table1[Diagnosis],MATCH(I667,'codeand diagnosis'!$A$2:$A$11,0))</f>
        <v>Dental caries</v>
      </c>
      <c r="I667" t="s">
        <v>41</v>
      </c>
      <c r="J667" t="str">
        <f>INDEX(Table1[ICD-10 Code],MATCH(Table2[[#This Row],[Treatment]],Table1[Treatment Type],0))</f>
        <v>K02.9</v>
      </c>
      <c r="K667" t="s">
        <v>28</v>
      </c>
      <c r="L667" t="s">
        <v>38</v>
      </c>
      <c r="M667" t="s">
        <v>61</v>
      </c>
      <c r="N667">
        <f>Table2[[#This Row],[Total Paid]]+Table2[[#This Row],[Due]]</f>
        <v>691</v>
      </c>
      <c r="O667">
        <v>691</v>
      </c>
      <c r="P667">
        <v>0</v>
      </c>
      <c r="Q667">
        <v>0</v>
      </c>
      <c r="R667">
        <v>0</v>
      </c>
      <c r="S667">
        <v>0</v>
      </c>
      <c r="T667">
        <v>691</v>
      </c>
      <c r="U667">
        <v>0</v>
      </c>
      <c r="V667">
        <v>691</v>
      </c>
      <c r="W667" t="s">
        <v>47</v>
      </c>
      <c r="X667" s="6" t="s">
        <v>1047</v>
      </c>
    </row>
    <row r="668" spans="1:24" hidden="1" x14ac:dyDescent="0.25">
      <c r="A668" t="s">
        <v>1053</v>
      </c>
      <c r="B668" t="s">
        <v>186</v>
      </c>
      <c r="C668" t="s">
        <v>34</v>
      </c>
      <c r="D668">
        <v>42</v>
      </c>
      <c r="E668" s="1">
        <v>45479</v>
      </c>
      <c r="F668" t="s">
        <v>35</v>
      </c>
      <c r="G668" t="s">
        <v>26</v>
      </c>
      <c r="H668" t="str">
        <f>INDEX(Table1[Diagnosis],MATCH(I668,'codeand diagnosis'!$A$2:$A$11,0))</f>
        <v>Dental examination</v>
      </c>
      <c r="I668" t="s">
        <v>45</v>
      </c>
      <c r="J668" t="str">
        <f>INDEX(Table1[ICD-10 Code],MATCH(Table2[[#This Row],[Treatment]],Table1[Treatment Type],0))</f>
        <v>Z01.2</v>
      </c>
      <c r="K668" t="s">
        <v>28</v>
      </c>
      <c r="L668" t="s">
        <v>28</v>
      </c>
      <c r="M668" t="s">
        <v>29</v>
      </c>
      <c r="N668">
        <f>Table2[[#This Row],[Total Paid]]+Table2[[#This Row],[Due]]</f>
        <v>120</v>
      </c>
      <c r="O668">
        <v>0</v>
      </c>
      <c r="P668">
        <v>0</v>
      </c>
      <c r="Q668">
        <v>200</v>
      </c>
      <c r="R668">
        <v>0</v>
      </c>
      <c r="S668">
        <v>80</v>
      </c>
      <c r="T668">
        <v>120</v>
      </c>
      <c r="U668">
        <v>0</v>
      </c>
      <c r="V668">
        <v>120</v>
      </c>
      <c r="W668" t="s">
        <v>42</v>
      </c>
      <c r="X668" s="6" t="s">
        <v>1047</v>
      </c>
    </row>
    <row r="669" spans="1:24" hidden="1" x14ac:dyDescent="0.25">
      <c r="A669" t="s">
        <v>1054</v>
      </c>
      <c r="B669" t="s">
        <v>137</v>
      </c>
      <c r="C669" t="s">
        <v>24</v>
      </c>
      <c r="D669">
        <v>12</v>
      </c>
      <c r="E669" s="1">
        <v>45571</v>
      </c>
      <c r="F669" t="s">
        <v>35</v>
      </c>
      <c r="G669" t="s">
        <v>36</v>
      </c>
      <c r="H669" t="str">
        <f>INDEX(Table1[Diagnosis],MATCH(I669,'codeand diagnosis'!$A$2:$A$11,0))</f>
        <v>Loss of teeth</v>
      </c>
      <c r="I669" t="s">
        <v>68</v>
      </c>
      <c r="J669" t="str">
        <f>INDEX(Table1[ICD-10 Code],MATCH(Table2[[#This Row],[Treatment]],Table1[Treatment Type],0))</f>
        <v>K08.1</v>
      </c>
      <c r="K669" t="s">
        <v>28</v>
      </c>
      <c r="L669" t="s">
        <v>38</v>
      </c>
      <c r="M669" t="s">
        <v>29</v>
      </c>
      <c r="N669">
        <f>Table2[[#This Row],[Total Paid]]+Table2[[#This Row],[Due]]</f>
        <v>541.79999999999995</v>
      </c>
      <c r="O669">
        <v>903</v>
      </c>
      <c r="P669">
        <v>0</v>
      </c>
      <c r="Q669">
        <v>0</v>
      </c>
      <c r="R669">
        <v>0</v>
      </c>
      <c r="S669">
        <v>361.2</v>
      </c>
      <c r="T669">
        <v>541.79999999999995</v>
      </c>
      <c r="U669">
        <v>0</v>
      </c>
      <c r="V669">
        <v>541.79999999999995</v>
      </c>
      <c r="W669" t="s">
        <v>30</v>
      </c>
      <c r="X669" s="6" t="s">
        <v>1047</v>
      </c>
    </row>
    <row r="670" spans="1:24" hidden="1" x14ac:dyDescent="0.25">
      <c r="A670" t="s">
        <v>1055</v>
      </c>
      <c r="B670" t="s">
        <v>304</v>
      </c>
      <c r="C670" t="s">
        <v>34</v>
      </c>
      <c r="D670">
        <v>9</v>
      </c>
      <c r="E670" s="1">
        <v>45602</v>
      </c>
      <c r="F670" t="s">
        <v>25</v>
      </c>
      <c r="G670" t="s">
        <v>26</v>
      </c>
      <c r="H670" t="str">
        <f>INDEX(Table1[Diagnosis],MATCH(I670,'codeand diagnosis'!$A$2:$A$11,0))</f>
        <v>Gingivitis</v>
      </c>
      <c r="I670" t="s">
        <v>27</v>
      </c>
      <c r="J670" t="str">
        <f>INDEX(Table1[ICD-10 Code],MATCH(Table2[[#This Row],[Treatment]],Table1[Treatment Type],0))</f>
        <v>K05.10</v>
      </c>
      <c r="K670" t="s">
        <v>28</v>
      </c>
      <c r="L670" t="s">
        <v>38</v>
      </c>
      <c r="M670" t="s">
        <v>29</v>
      </c>
      <c r="N670">
        <f>Table2[[#This Row],[Total Paid]]+Table2[[#This Row],[Due]]</f>
        <v>416</v>
      </c>
      <c r="O670">
        <v>416</v>
      </c>
      <c r="P670">
        <v>0</v>
      </c>
      <c r="Q670">
        <v>0</v>
      </c>
      <c r="R670">
        <v>0</v>
      </c>
      <c r="S670">
        <v>0</v>
      </c>
      <c r="T670">
        <v>416</v>
      </c>
      <c r="U670">
        <v>0</v>
      </c>
      <c r="V670">
        <v>416</v>
      </c>
      <c r="W670" t="s">
        <v>42</v>
      </c>
      <c r="X670" s="6" t="s">
        <v>1047</v>
      </c>
    </row>
    <row r="671" spans="1:24" hidden="1" x14ac:dyDescent="0.25">
      <c r="A671" t="s">
        <v>1056</v>
      </c>
      <c r="B671" t="s">
        <v>361</v>
      </c>
      <c r="C671" t="s">
        <v>34</v>
      </c>
      <c r="D671">
        <v>16</v>
      </c>
      <c r="E671" s="1">
        <v>45632</v>
      </c>
      <c r="F671" t="s">
        <v>35</v>
      </c>
      <c r="G671" t="s">
        <v>26</v>
      </c>
      <c r="H671" t="str">
        <f>INDEX(Table1[Diagnosis],MATCH(I671,'codeand diagnosis'!$A$2:$A$11,0))</f>
        <v>Dental examination</v>
      </c>
      <c r="I671" t="s">
        <v>45</v>
      </c>
      <c r="J671" t="str">
        <f>INDEX(Table1[ICD-10 Code],MATCH(Table2[[#This Row],[Treatment]],Table1[Treatment Type],0))</f>
        <v>Z01.2</v>
      </c>
      <c r="K671" t="s">
        <v>28</v>
      </c>
      <c r="L671" t="s">
        <v>28</v>
      </c>
      <c r="M671" t="s">
        <v>29</v>
      </c>
      <c r="N671">
        <f>Table2[[#This Row],[Total Paid]]+Table2[[#This Row],[Due]]</f>
        <v>120</v>
      </c>
      <c r="O671">
        <v>0</v>
      </c>
      <c r="P671">
        <v>0</v>
      </c>
      <c r="Q671">
        <v>200</v>
      </c>
      <c r="R671">
        <v>0</v>
      </c>
      <c r="S671">
        <v>80</v>
      </c>
      <c r="T671">
        <v>120</v>
      </c>
      <c r="U671">
        <v>0</v>
      </c>
      <c r="V671">
        <v>120</v>
      </c>
      <c r="W671" t="s">
        <v>30</v>
      </c>
      <c r="X671" s="6" t="s">
        <v>1047</v>
      </c>
    </row>
    <row r="672" spans="1:24" hidden="1" x14ac:dyDescent="0.25">
      <c r="A672" t="s">
        <v>1057</v>
      </c>
      <c r="B672" t="s">
        <v>414</v>
      </c>
      <c r="C672" t="s">
        <v>24</v>
      </c>
      <c r="D672">
        <v>59</v>
      </c>
      <c r="E672" t="s">
        <v>1058</v>
      </c>
      <c r="F672" t="s">
        <v>60</v>
      </c>
      <c r="G672" t="s">
        <v>36</v>
      </c>
      <c r="H672" t="str">
        <f>INDEX(Table1[Diagnosis],MATCH(I672,'codeand diagnosis'!$A$2:$A$11,0))</f>
        <v>Dental examination with radiology</v>
      </c>
      <c r="I672" t="s">
        <v>37</v>
      </c>
      <c r="J672" t="str">
        <f>INDEX(Table1[ICD-10 Code],MATCH(Table2[[#This Row],[Treatment]],Table1[Treatment Type],0))</f>
        <v>Z01.2</v>
      </c>
      <c r="K672" t="s">
        <v>28</v>
      </c>
      <c r="L672" t="s">
        <v>38</v>
      </c>
      <c r="M672" t="s">
        <v>29</v>
      </c>
      <c r="N672">
        <f>Table2[[#This Row],[Total Paid]]+Table2[[#This Row],[Due]]</f>
        <v>350</v>
      </c>
      <c r="O672">
        <v>0</v>
      </c>
      <c r="P672">
        <v>150</v>
      </c>
      <c r="Q672">
        <v>200</v>
      </c>
      <c r="R672">
        <v>0</v>
      </c>
      <c r="S672">
        <v>0</v>
      </c>
      <c r="T672">
        <v>350</v>
      </c>
      <c r="U672">
        <v>0</v>
      </c>
      <c r="V672">
        <v>350</v>
      </c>
      <c r="W672" t="s">
        <v>42</v>
      </c>
      <c r="X672" s="6" t="s">
        <v>1047</v>
      </c>
    </row>
    <row r="673" spans="1:24" hidden="1" x14ac:dyDescent="0.25">
      <c r="A673" t="s">
        <v>1059</v>
      </c>
      <c r="B673" t="s">
        <v>188</v>
      </c>
      <c r="C673" t="s">
        <v>34</v>
      </c>
      <c r="D673">
        <v>75</v>
      </c>
      <c r="E673" t="s">
        <v>1058</v>
      </c>
      <c r="F673" t="s">
        <v>50</v>
      </c>
      <c r="G673" t="s">
        <v>36</v>
      </c>
      <c r="H673" t="str">
        <f>INDEX(Table1[Diagnosis],MATCH(I673,'codeand diagnosis'!$A$2:$A$11,0))</f>
        <v>Retained dental root</v>
      </c>
      <c r="I673" t="s">
        <v>145</v>
      </c>
      <c r="J673" t="str">
        <f>INDEX(Table1[ICD-10 Code],MATCH(Table2[[#This Row],[Treatment]],Table1[Treatment Type],0))</f>
        <v>K08.3</v>
      </c>
      <c r="K673" t="s">
        <v>28</v>
      </c>
      <c r="L673" t="s">
        <v>28</v>
      </c>
      <c r="M673" t="s">
        <v>46</v>
      </c>
      <c r="N673">
        <f>Table2[[#This Row],[Total Paid]]+Table2[[#This Row],[Due]]</f>
        <v>2193</v>
      </c>
      <c r="O673">
        <v>2193</v>
      </c>
      <c r="P673">
        <v>0</v>
      </c>
      <c r="Q673">
        <v>0</v>
      </c>
      <c r="R673">
        <v>700</v>
      </c>
      <c r="S673">
        <v>0</v>
      </c>
      <c r="T673">
        <v>2193</v>
      </c>
      <c r="U673">
        <v>0</v>
      </c>
      <c r="V673">
        <v>1493</v>
      </c>
      <c r="W673" t="s">
        <v>51</v>
      </c>
      <c r="X673" s="6" t="s">
        <v>1047</v>
      </c>
    </row>
    <row r="674" spans="1:24" hidden="1" x14ac:dyDescent="0.25">
      <c r="A674" t="s">
        <v>1060</v>
      </c>
      <c r="B674" t="s">
        <v>222</v>
      </c>
      <c r="C674" t="s">
        <v>24</v>
      </c>
      <c r="D674">
        <v>59</v>
      </c>
      <c r="E674" t="s">
        <v>1061</v>
      </c>
      <c r="F674" t="s">
        <v>50</v>
      </c>
      <c r="G674" t="s">
        <v>36</v>
      </c>
      <c r="H674" t="str">
        <f>INDEX(Table1[Diagnosis],MATCH(I674,'codeand diagnosis'!$A$2:$A$11,0))</f>
        <v>Loss of teeth</v>
      </c>
      <c r="I674" t="s">
        <v>68</v>
      </c>
      <c r="J674" t="str">
        <f>INDEX(Table1[ICD-10 Code],MATCH(Table2[[#This Row],[Treatment]],Table1[Treatment Type],0))</f>
        <v>K08.1</v>
      </c>
      <c r="K674" t="s">
        <v>28</v>
      </c>
      <c r="L674" t="s">
        <v>28</v>
      </c>
      <c r="M674" t="s">
        <v>29</v>
      </c>
      <c r="N674">
        <f>Table2[[#This Row],[Total Paid]]+Table2[[#This Row],[Due]]</f>
        <v>675</v>
      </c>
      <c r="O674">
        <v>675</v>
      </c>
      <c r="P674">
        <v>0</v>
      </c>
      <c r="Q674">
        <v>0</v>
      </c>
      <c r="R674">
        <v>0</v>
      </c>
      <c r="S674">
        <v>0</v>
      </c>
      <c r="T674">
        <v>675</v>
      </c>
      <c r="U674">
        <v>0</v>
      </c>
      <c r="V674">
        <v>675</v>
      </c>
      <c r="W674" t="s">
        <v>42</v>
      </c>
      <c r="X674" s="6" t="s">
        <v>1047</v>
      </c>
    </row>
    <row r="675" spans="1:24" hidden="1" x14ac:dyDescent="0.25">
      <c r="A675" t="s">
        <v>1062</v>
      </c>
      <c r="B675" t="s">
        <v>314</v>
      </c>
      <c r="C675" t="s">
        <v>24</v>
      </c>
      <c r="D675">
        <v>45</v>
      </c>
      <c r="E675" t="s">
        <v>1061</v>
      </c>
      <c r="F675" t="s">
        <v>104</v>
      </c>
      <c r="G675" t="s">
        <v>26</v>
      </c>
      <c r="H675" t="str">
        <f>INDEX(Table1[Diagnosis],MATCH(I675,'codeand diagnosis'!$A$2:$A$11,0))</f>
        <v>Dental examination</v>
      </c>
      <c r="I675" t="s">
        <v>45</v>
      </c>
      <c r="J675" t="str">
        <f>INDEX(Table1[ICD-10 Code],MATCH(Table2[[#This Row],[Treatment]],Table1[Treatment Type],0))</f>
        <v>Z01.2</v>
      </c>
      <c r="K675" t="s">
        <v>38</v>
      </c>
      <c r="L675" t="s">
        <v>28</v>
      </c>
      <c r="M675" t="s">
        <v>29</v>
      </c>
      <c r="N675">
        <f>Table2[[#This Row],[Total Paid]]+Table2[[#This Row],[Due]]</f>
        <v>0</v>
      </c>
      <c r="O675">
        <v>0</v>
      </c>
      <c r="P675">
        <v>0</v>
      </c>
      <c r="Q675">
        <v>0</v>
      </c>
      <c r="R675">
        <v>0</v>
      </c>
      <c r="S675">
        <v>0</v>
      </c>
      <c r="T675">
        <v>0</v>
      </c>
      <c r="U675">
        <v>0</v>
      </c>
      <c r="V675">
        <v>0</v>
      </c>
      <c r="W675" t="s">
        <v>42</v>
      </c>
      <c r="X675" s="6" t="s">
        <v>1047</v>
      </c>
    </row>
    <row r="676" spans="1:24" hidden="1" x14ac:dyDescent="0.25">
      <c r="A676" t="s">
        <v>1063</v>
      </c>
      <c r="B676" t="s">
        <v>340</v>
      </c>
      <c r="C676" t="s">
        <v>34</v>
      </c>
      <c r="D676">
        <v>58</v>
      </c>
      <c r="E676" t="s">
        <v>1064</v>
      </c>
      <c r="F676" t="s">
        <v>50</v>
      </c>
      <c r="G676" t="s">
        <v>26</v>
      </c>
      <c r="H676" t="str">
        <f>INDEX(Table1[Diagnosis],MATCH(I676,'codeand diagnosis'!$A$2:$A$11,0))</f>
        <v>Dental examination with radiology</v>
      </c>
      <c r="I676" t="s">
        <v>37</v>
      </c>
      <c r="J676" t="str">
        <f>INDEX(Table1[ICD-10 Code],MATCH(Table2[[#This Row],[Treatment]],Table1[Treatment Type],0))</f>
        <v>Z01.2</v>
      </c>
      <c r="K676" t="s">
        <v>28</v>
      </c>
      <c r="L676" t="s">
        <v>38</v>
      </c>
      <c r="M676" t="s">
        <v>46</v>
      </c>
      <c r="N676">
        <f>Table2[[#This Row],[Total Paid]]+Table2[[#This Row],[Due]]</f>
        <v>350</v>
      </c>
      <c r="O676">
        <v>0</v>
      </c>
      <c r="P676">
        <v>150</v>
      </c>
      <c r="Q676">
        <v>200</v>
      </c>
      <c r="R676">
        <v>0</v>
      </c>
      <c r="S676">
        <v>0</v>
      </c>
      <c r="T676">
        <v>350</v>
      </c>
      <c r="U676">
        <v>0</v>
      </c>
      <c r="V676">
        <v>350</v>
      </c>
      <c r="W676" t="s">
        <v>42</v>
      </c>
      <c r="X676" s="6" t="s">
        <v>1047</v>
      </c>
    </row>
    <row r="677" spans="1:24" hidden="1" x14ac:dyDescent="0.25">
      <c r="A677" t="s">
        <v>1065</v>
      </c>
      <c r="B677" t="s">
        <v>398</v>
      </c>
      <c r="C677" t="s">
        <v>34</v>
      </c>
      <c r="D677">
        <v>16</v>
      </c>
      <c r="E677" t="s">
        <v>1066</v>
      </c>
      <c r="F677" t="s">
        <v>35</v>
      </c>
      <c r="G677" t="s">
        <v>26</v>
      </c>
      <c r="H677" t="str">
        <f>INDEX(Table1[Diagnosis],MATCH(I677,'codeand diagnosis'!$A$2:$A$11,0))</f>
        <v>Missing teeth</v>
      </c>
      <c r="I677" t="s">
        <v>78</v>
      </c>
      <c r="J677" t="str">
        <f>INDEX(Table1[ICD-10 Code],MATCH(Table2[[#This Row],[Treatment]],Table1[Treatment Type],0))</f>
        <v>K08.1</v>
      </c>
      <c r="K677" t="s">
        <v>38</v>
      </c>
      <c r="L677" t="s">
        <v>38</v>
      </c>
      <c r="M677" t="s">
        <v>29</v>
      </c>
      <c r="N677">
        <f>Table2[[#This Row],[Total Paid]]+Table2[[#This Row],[Due]]</f>
        <v>23481</v>
      </c>
      <c r="O677">
        <v>24481</v>
      </c>
      <c r="P677">
        <v>0</v>
      </c>
      <c r="Q677">
        <v>0</v>
      </c>
      <c r="R677">
        <v>6350</v>
      </c>
      <c r="S677">
        <v>1000</v>
      </c>
      <c r="T677">
        <v>23481</v>
      </c>
      <c r="U677">
        <v>0</v>
      </c>
      <c r="V677">
        <v>17131</v>
      </c>
      <c r="W677" t="s">
        <v>42</v>
      </c>
      <c r="X677" s="6" t="s">
        <v>1047</v>
      </c>
    </row>
    <row r="678" spans="1:24" hidden="1" x14ac:dyDescent="0.25">
      <c r="A678" t="s">
        <v>1067</v>
      </c>
      <c r="B678" t="s">
        <v>222</v>
      </c>
      <c r="C678" t="s">
        <v>24</v>
      </c>
      <c r="D678">
        <v>74</v>
      </c>
      <c r="E678" t="s">
        <v>1068</v>
      </c>
      <c r="F678" t="s">
        <v>104</v>
      </c>
      <c r="G678" t="s">
        <v>26</v>
      </c>
      <c r="H678" t="str">
        <f>INDEX(Table1[Diagnosis],MATCH(I678,'codeand diagnosis'!$A$2:$A$11,0))</f>
        <v>Dental examination</v>
      </c>
      <c r="I678" t="s">
        <v>45</v>
      </c>
      <c r="J678" t="str">
        <f>INDEX(Table1[ICD-10 Code],MATCH(Table2[[#This Row],[Treatment]],Table1[Treatment Type],0))</f>
        <v>Z01.2</v>
      </c>
      <c r="K678" t="s">
        <v>28</v>
      </c>
      <c r="L678" t="s">
        <v>28</v>
      </c>
      <c r="M678" t="s">
        <v>29</v>
      </c>
      <c r="N678">
        <f>Table2[[#This Row],[Total Paid]]+Table2[[#This Row],[Due]]</f>
        <v>120</v>
      </c>
      <c r="O678">
        <v>0</v>
      </c>
      <c r="P678">
        <v>0</v>
      </c>
      <c r="Q678">
        <v>200</v>
      </c>
      <c r="R678">
        <v>0</v>
      </c>
      <c r="S678">
        <v>80</v>
      </c>
      <c r="T678">
        <v>120</v>
      </c>
      <c r="U678">
        <v>0</v>
      </c>
      <c r="V678">
        <v>120</v>
      </c>
      <c r="W678" t="s">
        <v>51</v>
      </c>
      <c r="X678" s="6" t="s">
        <v>1047</v>
      </c>
    </row>
    <row r="679" spans="1:24" hidden="1" x14ac:dyDescent="0.25">
      <c r="A679" t="s">
        <v>1069</v>
      </c>
      <c r="B679" t="s">
        <v>156</v>
      </c>
      <c r="C679" t="s">
        <v>24</v>
      </c>
      <c r="D679">
        <v>41</v>
      </c>
      <c r="E679" t="s">
        <v>1070</v>
      </c>
      <c r="F679" t="s">
        <v>60</v>
      </c>
      <c r="G679" t="s">
        <v>26</v>
      </c>
      <c r="H679" t="str">
        <f>INDEX(Table1[Diagnosis],MATCH(I679,'codeand diagnosis'!$A$2:$A$11,0))</f>
        <v>Dental examination</v>
      </c>
      <c r="I679" t="s">
        <v>45</v>
      </c>
      <c r="J679" t="str">
        <f>INDEX(Table1[ICD-10 Code],MATCH(Table2[[#This Row],[Treatment]],Table1[Treatment Type],0))</f>
        <v>Z01.2</v>
      </c>
      <c r="K679" t="s">
        <v>28</v>
      </c>
      <c r="L679" t="s">
        <v>28</v>
      </c>
      <c r="M679" t="s">
        <v>46</v>
      </c>
      <c r="N679">
        <f>Table2[[#This Row],[Total Paid]]+Table2[[#This Row],[Due]]</f>
        <v>120</v>
      </c>
      <c r="O679">
        <v>0</v>
      </c>
      <c r="P679">
        <v>0</v>
      </c>
      <c r="Q679">
        <v>200</v>
      </c>
      <c r="R679">
        <v>0</v>
      </c>
      <c r="S679">
        <v>80</v>
      </c>
      <c r="T679">
        <v>120</v>
      </c>
      <c r="U679">
        <v>0</v>
      </c>
      <c r="V679">
        <v>120</v>
      </c>
      <c r="W679" t="s">
        <v>42</v>
      </c>
      <c r="X679" s="6" t="s">
        <v>1047</v>
      </c>
    </row>
    <row r="680" spans="1:24" hidden="1" x14ac:dyDescent="0.25">
      <c r="A680" t="s">
        <v>1071</v>
      </c>
      <c r="B680" t="s">
        <v>197</v>
      </c>
      <c r="C680" t="s">
        <v>24</v>
      </c>
      <c r="D680">
        <v>7</v>
      </c>
      <c r="E680" t="s">
        <v>1070</v>
      </c>
      <c r="F680" t="s">
        <v>35</v>
      </c>
      <c r="G680" t="s">
        <v>26</v>
      </c>
      <c r="H680" t="str">
        <f>INDEX(Table1[Diagnosis],MATCH(I680,'codeand diagnosis'!$A$2:$A$11,0))</f>
        <v>Cosmetic procedure</v>
      </c>
      <c r="I680" t="s">
        <v>55</v>
      </c>
      <c r="J680" t="str">
        <f>INDEX(Table1[ICD-10 Code],MATCH(Table2[[#This Row],[Treatment]],Table1[Treatment Type],0))</f>
        <v>Z41.1</v>
      </c>
      <c r="K680" t="s">
        <v>38</v>
      </c>
      <c r="L680" t="s">
        <v>38</v>
      </c>
      <c r="M680" t="s">
        <v>29</v>
      </c>
      <c r="N680">
        <f>Table2[[#This Row],[Total Paid]]+Table2[[#This Row],[Due]]</f>
        <v>1443</v>
      </c>
      <c r="O680">
        <v>1443</v>
      </c>
      <c r="P680">
        <v>0</v>
      </c>
      <c r="Q680">
        <v>0</v>
      </c>
      <c r="R680">
        <v>0</v>
      </c>
      <c r="S680">
        <v>0</v>
      </c>
      <c r="T680">
        <v>1443</v>
      </c>
      <c r="U680">
        <v>0</v>
      </c>
      <c r="V680">
        <v>1443</v>
      </c>
      <c r="W680" t="s">
        <v>42</v>
      </c>
      <c r="X680" s="6" t="s">
        <v>1047</v>
      </c>
    </row>
    <row r="681" spans="1:24" hidden="1" x14ac:dyDescent="0.25">
      <c r="A681" t="s">
        <v>1072</v>
      </c>
      <c r="B681" t="s">
        <v>342</v>
      </c>
      <c r="C681" t="s">
        <v>34</v>
      </c>
      <c r="D681">
        <v>33</v>
      </c>
      <c r="E681" t="s">
        <v>1073</v>
      </c>
      <c r="F681" t="s">
        <v>50</v>
      </c>
      <c r="G681" t="s">
        <v>26</v>
      </c>
      <c r="H681" t="str">
        <f>INDEX(Table1[Diagnosis],MATCH(I681,'codeand diagnosis'!$A$2:$A$11,0))</f>
        <v>Gingivitis</v>
      </c>
      <c r="I681" t="s">
        <v>27</v>
      </c>
      <c r="J681" t="str">
        <f>INDEX(Table1[ICD-10 Code],MATCH(Table2[[#This Row],[Treatment]],Table1[Treatment Type],0))</f>
        <v>K05.10</v>
      </c>
      <c r="K681" t="s">
        <v>28</v>
      </c>
      <c r="L681" t="s">
        <v>38</v>
      </c>
      <c r="M681" t="s">
        <v>61</v>
      </c>
      <c r="N681">
        <f>Table2[[#This Row],[Total Paid]]+Table2[[#This Row],[Due]]</f>
        <v>373.2</v>
      </c>
      <c r="O681">
        <v>622</v>
      </c>
      <c r="P681">
        <v>0</v>
      </c>
      <c r="Q681">
        <v>0</v>
      </c>
      <c r="R681">
        <v>0</v>
      </c>
      <c r="S681">
        <v>248.8</v>
      </c>
      <c r="T681">
        <v>373.2</v>
      </c>
      <c r="U681">
        <v>0</v>
      </c>
      <c r="V681">
        <v>373.2</v>
      </c>
      <c r="W681" t="s">
        <v>51</v>
      </c>
      <c r="X681" s="6" t="s">
        <v>1047</v>
      </c>
    </row>
    <row r="682" spans="1:24" hidden="1" x14ac:dyDescent="0.25">
      <c r="A682" t="s">
        <v>1074</v>
      </c>
      <c r="B682" t="s">
        <v>109</v>
      </c>
      <c r="C682" t="s">
        <v>34</v>
      </c>
      <c r="D682">
        <v>55</v>
      </c>
      <c r="E682" t="s">
        <v>1073</v>
      </c>
      <c r="F682" t="s">
        <v>104</v>
      </c>
      <c r="G682" t="s">
        <v>36</v>
      </c>
      <c r="H682" t="str">
        <f>INDEX(Table1[Diagnosis],MATCH(I682,'codeand diagnosis'!$A$2:$A$11,0))</f>
        <v>Dental examination with radiology</v>
      </c>
      <c r="I682" t="s">
        <v>37</v>
      </c>
      <c r="J682" t="str">
        <f>INDEX(Table1[ICD-10 Code],MATCH(Table2[[#This Row],[Treatment]],Table1[Treatment Type],0))</f>
        <v>Z01.2</v>
      </c>
      <c r="K682" t="s">
        <v>28</v>
      </c>
      <c r="L682" t="s">
        <v>38</v>
      </c>
      <c r="M682" t="s">
        <v>29</v>
      </c>
      <c r="N682">
        <f>Table2[[#This Row],[Total Paid]]+Table2[[#This Row],[Due]]</f>
        <v>350</v>
      </c>
      <c r="O682">
        <v>0</v>
      </c>
      <c r="P682">
        <v>150</v>
      </c>
      <c r="Q682">
        <v>200</v>
      </c>
      <c r="R682">
        <v>0</v>
      </c>
      <c r="S682">
        <v>0</v>
      </c>
      <c r="T682">
        <v>350</v>
      </c>
      <c r="U682">
        <v>0</v>
      </c>
      <c r="V682">
        <v>350</v>
      </c>
      <c r="W682" t="s">
        <v>42</v>
      </c>
      <c r="X682" s="6" t="s">
        <v>1047</v>
      </c>
    </row>
    <row r="683" spans="1:24" hidden="1" x14ac:dyDescent="0.25">
      <c r="A683" t="s">
        <v>1075</v>
      </c>
      <c r="B683" t="s">
        <v>94</v>
      </c>
      <c r="C683" t="s">
        <v>24</v>
      </c>
      <c r="D683">
        <v>14</v>
      </c>
      <c r="E683" t="s">
        <v>1076</v>
      </c>
      <c r="F683" t="s">
        <v>88</v>
      </c>
      <c r="G683" t="s">
        <v>26</v>
      </c>
      <c r="H683" t="str">
        <f>INDEX(Table1[Diagnosis],MATCH(I683,'codeand diagnosis'!$A$2:$A$11,0))</f>
        <v>Dental examination</v>
      </c>
      <c r="I683" t="s">
        <v>45</v>
      </c>
      <c r="J683" t="str">
        <f>INDEX(Table1[ICD-10 Code],MATCH(Table2[[#This Row],[Treatment]],Table1[Treatment Type],0))</f>
        <v>Z01.2</v>
      </c>
      <c r="K683" t="s">
        <v>28</v>
      </c>
      <c r="L683" t="s">
        <v>28</v>
      </c>
      <c r="M683" t="s">
        <v>29</v>
      </c>
      <c r="N683">
        <f>Table2[[#This Row],[Total Paid]]+Table2[[#This Row],[Due]]</f>
        <v>200</v>
      </c>
      <c r="O683">
        <v>0</v>
      </c>
      <c r="P683">
        <v>0</v>
      </c>
      <c r="Q683">
        <v>200</v>
      </c>
      <c r="R683">
        <v>0</v>
      </c>
      <c r="S683">
        <v>0</v>
      </c>
      <c r="T683">
        <v>200</v>
      </c>
      <c r="U683">
        <v>0</v>
      </c>
      <c r="V683">
        <v>200</v>
      </c>
      <c r="W683" t="s">
        <v>47</v>
      </c>
      <c r="X683" s="6" t="s">
        <v>1047</v>
      </c>
    </row>
    <row r="684" spans="1:24" hidden="1" x14ac:dyDescent="0.25">
      <c r="A684" t="s">
        <v>1077</v>
      </c>
      <c r="B684" t="s">
        <v>268</v>
      </c>
      <c r="C684" t="s">
        <v>34</v>
      </c>
      <c r="D684">
        <v>30</v>
      </c>
      <c r="E684" t="s">
        <v>1076</v>
      </c>
      <c r="F684" t="s">
        <v>92</v>
      </c>
      <c r="G684" t="s">
        <v>36</v>
      </c>
      <c r="H684" t="str">
        <f>INDEX(Table1[Diagnosis],MATCH(I684,'codeand diagnosis'!$A$2:$A$11,0))</f>
        <v>Dental caries</v>
      </c>
      <c r="I684" t="s">
        <v>41</v>
      </c>
      <c r="J684" t="str">
        <f>INDEX(Table1[ICD-10 Code],MATCH(Table2[[#This Row],[Treatment]],Table1[Treatment Type],0))</f>
        <v>K02.9</v>
      </c>
      <c r="K684" t="s">
        <v>28</v>
      </c>
      <c r="L684" t="s">
        <v>38</v>
      </c>
      <c r="M684" t="s">
        <v>29</v>
      </c>
      <c r="N684">
        <f>Table2[[#This Row],[Total Paid]]+Table2[[#This Row],[Due]]</f>
        <v>802</v>
      </c>
      <c r="O684">
        <v>802</v>
      </c>
      <c r="P684">
        <v>0</v>
      </c>
      <c r="Q684">
        <v>0</v>
      </c>
      <c r="R684">
        <v>0</v>
      </c>
      <c r="S684">
        <v>0</v>
      </c>
      <c r="T684">
        <v>802</v>
      </c>
      <c r="U684">
        <v>0</v>
      </c>
      <c r="V684">
        <v>802</v>
      </c>
      <c r="W684" t="s">
        <v>51</v>
      </c>
      <c r="X684" s="6" t="s">
        <v>1047</v>
      </c>
    </row>
    <row r="685" spans="1:24" hidden="1" x14ac:dyDescent="0.25">
      <c r="A685" t="s">
        <v>1078</v>
      </c>
      <c r="B685" t="s">
        <v>70</v>
      </c>
      <c r="C685" t="s">
        <v>24</v>
      </c>
      <c r="D685">
        <v>55</v>
      </c>
      <c r="E685" t="s">
        <v>1079</v>
      </c>
      <c r="F685" t="s">
        <v>35</v>
      </c>
      <c r="G685" t="s">
        <v>36</v>
      </c>
      <c r="H685" t="str">
        <f>INDEX(Table1[Diagnosis],MATCH(I685,'codeand diagnosis'!$A$2:$A$11,0))</f>
        <v>Gingivitis</v>
      </c>
      <c r="I685" t="s">
        <v>27</v>
      </c>
      <c r="J685" t="str">
        <f>INDEX(Table1[ICD-10 Code],MATCH(Table2[[#This Row],[Treatment]],Table1[Treatment Type],0))</f>
        <v>K05.10</v>
      </c>
      <c r="K685" t="s">
        <v>38</v>
      </c>
      <c r="L685" t="s">
        <v>38</v>
      </c>
      <c r="M685" t="s">
        <v>29</v>
      </c>
      <c r="N685">
        <f>Table2[[#This Row],[Total Paid]]+Table2[[#This Row],[Due]]</f>
        <v>477</v>
      </c>
      <c r="O685">
        <v>477</v>
      </c>
      <c r="P685">
        <v>0</v>
      </c>
      <c r="Q685">
        <v>0</v>
      </c>
      <c r="R685">
        <v>0</v>
      </c>
      <c r="S685">
        <v>0</v>
      </c>
      <c r="T685">
        <v>477</v>
      </c>
      <c r="U685">
        <v>0</v>
      </c>
      <c r="V685">
        <v>477</v>
      </c>
      <c r="W685" t="s">
        <v>42</v>
      </c>
      <c r="X685" s="6" t="s">
        <v>1047</v>
      </c>
    </row>
    <row r="686" spans="1:24" hidden="1" x14ac:dyDescent="0.25">
      <c r="A686" t="s">
        <v>1080</v>
      </c>
      <c r="B686" t="s">
        <v>361</v>
      </c>
      <c r="C686" t="s">
        <v>34</v>
      </c>
      <c r="D686">
        <v>33</v>
      </c>
      <c r="E686" t="s">
        <v>1081</v>
      </c>
      <c r="F686" t="s">
        <v>88</v>
      </c>
      <c r="G686" t="s">
        <v>26</v>
      </c>
      <c r="H686" t="str">
        <f>INDEX(Table1[Diagnosis],MATCH(I686,'codeand diagnosis'!$A$2:$A$11,0))</f>
        <v>Malocclusion</v>
      </c>
      <c r="I686" t="s">
        <v>89</v>
      </c>
      <c r="J686" t="str">
        <f>INDEX(Table1[ICD-10 Code],MATCH(Table2[[#This Row],[Treatment]],Table1[Treatment Type],0))</f>
        <v>K07.4</v>
      </c>
      <c r="K686" t="s">
        <v>38</v>
      </c>
      <c r="L686" t="s">
        <v>38</v>
      </c>
      <c r="M686" t="s">
        <v>29</v>
      </c>
      <c r="N686">
        <f>Table2[[#This Row],[Total Paid]]+Table2[[#This Row],[Due]]</f>
        <v>17068</v>
      </c>
      <c r="O686">
        <v>17068</v>
      </c>
      <c r="P686">
        <v>0</v>
      </c>
      <c r="Q686">
        <v>0</v>
      </c>
      <c r="R686">
        <v>4380</v>
      </c>
      <c r="S686">
        <v>0</v>
      </c>
      <c r="T686">
        <v>11247</v>
      </c>
      <c r="U686">
        <v>5821</v>
      </c>
      <c r="V686">
        <v>6867</v>
      </c>
      <c r="W686" t="s">
        <v>51</v>
      </c>
      <c r="X686" s="6" t="s">
        <v>1047</v>
      </c>
    </row>
    <row r="687" spans="1:24" hidden="1" x14ac:dyDescent="0.25">
      <c r="A687" t="s">
        <v>1082</v>
      </c>
      <c r="B687" t="s">
        <v>161</v>
      </c>
      <c r="C687" t="s">
        <v>24</v>
      </c>
      <c r="D687">
        <v>37</v>
      </c>
      <c r="E687" t="s">
        <v>1081</v>
      </c>
      <c r="F687" t="s">
        <v>35</v>
      </c>
      <c r="G687" t="s">
        <v>26</v>
      </c>
      <c r="H687" t="str">
        <f>INDEX(Table1[Diagnosis],MATCH(I687,'codeand diagnosis'!$A$2:$A$11,0))</f>
        <v>Dental examination with radiology</v>
      </c>
      <c r="I687" t="s">
        <v>37</v>
      </c>
      <c r="J687" t="str">
        <f>INDEX(Table1[ICD-10 Code],MATCH(Table2[[#This Row],[Treatment]],Table1[Treatment Type],0))</f>
        <v>Z01.2</v>
      </c>
      <c r="K687" t="s">
        <v>28</v>
      </c>
      <c r="L687" t="s">
        <v>38</v>
      </c>
      <c r="M687" t="s">
        <v>29</v>
      </c>
      <c r="N687">
        <f>Table2[[#This Row],[Total Paid]]+Table2[[#This Row],[Due]]</f>
        <v>350</v>
      </c>
      <c r="O687">
        <v>0</v>
      </c>
      <c r="P687">
        <v>150</v>
      </c>
      <c r="Q687">
        <v>200</v>
      </c>
      <c r="R687">
        <v>0</v>
      </c>
      <c r="S687">
        <v>0</v>
      </c>
      <c r="T687">
        <v>350</v>
      </c>
      <c r="U687">
        <v>0</v>
      </c>
      <c r="V687">
        <v>350</v>
      </c>
      <c r="W687" t="s">
        <v>30</v>
      </c>
      <c r="X687" s="6" t="s">
        <v>1047</v>
      </c>
    </row>
    <row r="688" spans="1:24" x14ac:dyDescent="0.25">
      <c r="A688" t="s">
        <v>1083</v>
      </c>
      <c r="B688" t="s">
        <v>232</v>
      </c>
      <c r="C688" t="s">
        <v>24</v>
      </c>
      <c r="D688">
        <v>5</v>
      </c>
      <c r="E688" t="s">
        <v>1084</v>
      </c>
      <c r="F688" t="s">
        <v>54</v>
      </c>
      <c r="G688" t="s">
        <v>26</v>
      </c>
      <c r="H688" t="str">
        <f>INDEX(Table1[Diagnosis],MATCH(I688,'codeand diagnosis'!$A$2:$A$11,0))</f>
        <v>Dental examination</v>
      </c>
      <c r="I688" t="s">
        <v>45</v>
      </c>
      <c r="J688" t="str">
        <f>INDEX(Table1[ICD-10 Code],MATCH(Table2[[#This Row],[Treatment]],Table1[Treatment Type],0))</f>
        <v>Z01.2</v>
      </c>
      <c r="K688" t="s">
        <v>28</v>
      </c>
      <c r="L688" t="s">
        <v>28</v>
      </c>
      <c r="M688" t="s">
        <v>29</v>
      </c>
      <c r="N688">
        <f>Table2[[#This Row],[Total Paid]]+Table2[[#This Row],[Due]]</f>
        <v>200</v>
      </c>
      <c r="O688">
        <v>0</v>
      </c>
      <c r="P688">
        <v>0</v>
      </c>
      <c r="Q688">
        <v>200</v>
      </c>
      <c r="R688">
        <v>0</v>
      </c>
      <c r="S688">
        <v>0</v>
      </c>
      <c r="T688">
        <v>200</v>
      </c>
      <c r="U688">
        <v>0</v>
      </c>
      <c r="V688">
        <v>200</v>
      </c>
      <c r="W688" t="s">
        <v>51</v>
      </c>
      <c r="X688" s="6" t="s">
        <v>1047</v>
      </c>
    </row>
    <row r="689" spans="1:24" hidden="1" x14ac:dyDescent="0.25">
      <c r="A689" t="s">
        <v>1085</v>
      </c>
      <c r="B689" t="s">
        <v>243</v>
      </c>
      <c r="C689" t="s">
        <v>24</v>
      </c>
      <c r="D689">
        <v>73</v>
      </c>
      <c r="E689" s="1">
        <v>45298</v>
      </c>
      <c r="F689" t="s">
        <v>88</v>
      </c>
      <c r="G689" t="s">
        <v>36</v>
      </c>
      <c r="H689" t="str">
        <f>INDEX(Table1[Diagnosis],MATCH(I689,'codeand diagnosis'!$A$2:$A$11,0))</f>
        <v>Dental examination with radiology</v>
      </c>
      <c r="I689" t="s">
        <v>37</v>
      </c>
      <c r="J689" t="str">
        <f>INDEX(Table1[ICD-10 Code],MATCH(Table2[[#This Row],[Treatment]],Table1[Treatment Type],0))</f>
        <v>Z01.2</v>
      </c>
      <c r="K689" t="s">
        <v>28</v>
      </c>
      <c r="L689" t="s">
        <v>38</v>
      </c>
      <c r="M689" t="s">
        <v>29</v>
      </c>
      <c r="N689">
        <f>Table2[[#This Row],[Total Paid]]+Table2[[#This Row],[Due]]</f>
        <v>350</v>
      </c>
      <c r="O689">
        <v>0</v>
      </c>
      <c r="P689">
        <v>150</v>
      </c>
      <c r="Q689">
        <v>200</v>
      </c>
      <c r="R689">
        <v>0</v>
      </c>
      <c r="S689">
        <v>0</v>
      </c>
      <c r="T689">
        <v>350</v>
      </c>
      <c r="U689">
        <v>0</v>
      </c>
      <c r="V689">
        <v>350</v>
      </c>
      <c r="W689" t="s">
        <v>47</v>
      </c>
      <c r="X689" s="6" t="s">
        <v>1086</v>
      </c>
    </row>
    <row r="690" spans="1:24" hidden="1" x14ac:dyDescent="0.25">
      <c r="A690" t="s">
        <v>1087</v>
      </c>
      <c r="B690" t="s">
        <v>296</v>
      </c>
      <c r="C690" t="s">
        <v>24</v>
      </c>
      <c r="D690">
        <v>41</v>
      </c>
      <c r="E690" s="1">
        <v>45298</v>
      </c>
      <c r="F690" t="s">
        <v>35</v>
      </c>
      <c r="G690" t="s">
        <v>36</v>
      </c>
      <c r="H690" t="str">
        <f>INDEX(Table1[Diagnosis],MATCH(I690,'codeand diagnosis'!$A$2:$A$11,0))</f>
        <v>Dental examination with radiology</v>
      </c>
      <c r="I690" t="s">
        <v>37</v>
      </c>
      <c r="J690" t="str">
        <f>INDEX(Table1[ICD-10 Code],MATCH(Table2[[#This Row],[Treatment]],Table1[Treatment Type],0))</f>
        <v>Z01.2</v>
      </c>
      <c r="K690" t="s">
        <v>38</v>
      </c>
      <c r="L690" t="s">
        <v>38</v>
      </c>
      <c r="M690" t="s">
        <v>29</v>
      </c>
      <c r="N690">
        <f>Table2[[#This Row],[Total Paid]]+Table2[[#This Row],[Due]]</f>
        <v>150</v>
      </c>
      <c r="O690">
        <v>0</v>
      </c>
      <c r="P690">
        <v>150</v>
      </c>
      <c r="Q690">
        <v>0</v>
      </c>
      <c r="R690">
        <v>0</v>
      </c>
      <c r="S690">
        <v>0</v>
      </c>
      <c r="T690">
        <v>150</v>
      </c>
      <c r="U690">
        <v>0</v>
      </c>
      <c r="V690">
        <v>150</v>
      </c>
      <c r="W690" t="s">
        <v>51</v>
      </c>
      <c r="X690" s="6" t="s">
        <v>1086</v>
      </c>
    </row>
    <row r="691" spans="1:24" hidden="1" x14ac:dyDescent="0.25">
      <c r="A691" t="s">
        <v>1088</v>
      </c>
      <c r="B691" t="s">
        <v>294</v>
      </c>
      <c r="C691" t="s">
        <v>34</v>
      </c>
      <c r="D691">
        <v>80</v>
      </c>
      <c r="E691" s="1">
        <v>45358</v>
      </c>
      <c r="F691" t="s">
        <v>88</v>
      </c>
      <c r="G691" t="s">
        <v>36</v>
      </c>
      <c r="H691" t="str">
        <f>INDEX(Table1[Diagnosis],MATCH(I691,'codeand diagnosis'!$A$2:$A$11,0))</f>
        <v>Loss of teeth</v>
      </c>
      <c r="I691" t="s">
        <v>68</v>
      </c>
      <c r="J691" t="str">
        <f>INDEX(Table1[ICD-10 Code],MATCH(Table2[[#This Row],[Treatment]],Table1[Treatment Type],0))</f>
        <v>K08.1</v>
      </c>
      <c r="K691" t="s">
        <v>38</v>
      </c>
      <c r="L691" t="s">
        <v>38</v>
      </c>
      <c r="M691" t="s">
        <v>29</v>
      </c>
      <c r="N691">
        <f>Table2[[#This Row],[Total Paid]]+Table2[[#This Row],[Due]]</f>
        <v>929</v>
      </c>
      <c r="O691">
        <v>929</v>
      </c>
      <c r="P691">
        <v>0</v>
      </c>
      <c r="Q691">
        <v>0</v>
      </c>
      <c r="R691">
        <v>0</v>
      </c>
      <c r="S691">
        <v>0</v>
      </c>
      <c r="T691">
        <v>929</v>
      </c>
      <c r="U691">
        <v>0</v>
      </c>
      <c r="V691">
        <v>929</v>
      </c>
      <c r="W691" t="s">
        <v>30</v>
      </c>
      <c r="X691" s="6" t="s">
        <v>1086</v>
      </c>
    </row>
    <row r="692" spans="1:24" hidden="1" x14ac:dyDescent="0.25">
      <c r="A692" t="s">
        <v>1089</v>
      </c>
      <c r="B692" t="s">
        <v>451</v>
      </c>
      <c r="C692" t="s">
        <v>24</v>
      </c>
      <c r="D692">
        <v>74</v>
      </c>
      <c r="E692" s="1">
        <v>45358</v>
      </c>
      <c r="F692" t="s">
        <v>132</v>
      </c>
      <c r="G692" t="s">
        <v>26</v>
      </c>
      <c r="H692" t="str">
        <f>INDEX(Table1[Diagnosis],MATCH(I692,'codeand diagnosis'!$A$2:$A$11,0))</f>
        <v>Dental examination with radiology</v>
      </c>
      <c r="I692" t="s">
        <v>37</v>
      </c>
      <c r="J692" t="str">
        <f>INDEX(Table1[ICD-10 Code],MATCH(Table2[[#This Row],[Treatment]],Table1[Treatment Type],0))</f>
        <v>Z01.2</v>
      </c>
      <c r="K692" t="s">
        <v>28</v>
      </c>
      <c r="L692" t="s">
        <v>38</v>
      </c>
      <c r="M692" t="s">
        <v>29</v>
      </c>
      <c r="N692">
        <f>Table2[[#This Row],[Total Paid]]+Table2[[#This Row],[Due]]</f>
        <v>350</v>
      </c>
      <c r="O692">
        <v>0</v>
      </c>
      <c r="P692">
        <v>150</v>
      </c>
      <c r="Q692">
        <v>200</v>
      </c>
      <c r="R692">
        <v>0</v>
      </c>
      <c r="S692">
        <v>0</v>
      </c>
      <c r="T692">
        <v>350</v>
      </c>
      <c r="U692">
        <v>0</v>
      </c>
      <c r="V692">
        <v>350</v>
      </c>
      <c r="W692" t="s">
        <v>51</v>
      </c>
      <c r="X692" s="6" t="s">
        <v>1086</v>
      </c>
    </row>
    <row r="693" spans="1:24" hidden="1" x14ac:dyDescent="0.25">
      <c r="A693" t="s">
        <v>1090</v>
      </c>
      <c r="B693" t="s">
        <v>148</v>
      </c>
      <c r="C693" t="s">
        <v>24</v>
      </c>
      <c r="D693">
        <v>62</v>
      </c>
      <c r="E693" s="1">
        <v>45389</v>
      </c>
      <c r="F693" t="s">
        <v>359</v>
      </c>
      <c r="G693" t="s">
        <v>26</v>
      </c>
      <c r="H693" t="str">
        <f>INDEX(Table1[Diagnosis],MATCH(I693,'codeand diagnosis'!$A$2:$A$11,0))</f>
        <v>Malocclusion</v>
      </c>
      <c r="I693" t="s">
        <v>89</v>
      </c>
      <c r="J693" t="str">
        <f>INDEX(Table1[ICD-10 Code],MATCH(Table2[[#This Row],[Treatment]],Table1[Treatment Type],0))</f>
        <v>K07.4</v>
      </c>
      <c r="K693" t="s">
        <v>28</v>
      </c>
      <c r="L693" t="s">
        <v>28</v>
      </c>
      <c r="M693" t="s">
        <v>29</v>
      </c>
      <c r="N693">
        <f>Table2[[#This Row],[Total Paid]]+Table2[[#This Row],[Due]]</f>
        <v>12324</v>
      </c>
      <c r="O693">
        <v>12324</v>
      </c>
      <c r="P693">
        <v>0</v>
      </c>
      <c r="Q693">
        <v>0</v>
      </c>
      <c r="R693">
        <v>2110</v>
      </c>
      <c r="S693">
        <v>0</v>
      </c>
      <c r="T693">
        <v>12324</v>
      </c>
      <c r="U693">
        <v>0</v>
      </c>
      <c r="V693">
        <v>10214</v>
      </c>
      <c r="W693" t="s">
        <v>51</v>
      </c>
      <c r="X693" s="6" t="s">
        <v>1086</v>
      </c>
    </row>
    <row r="694" spans="1:24" hidden="1" x14ac:dyDescent="0.25">
      <c r="A694" t="s">
        <v>1091</v>
      </c>
      <c r="B694" t="s">
        <v>177</v>
      </c>
      <c r="C694" t="s">
        <v>34</v>
      </c>
      <c r="D694">
        <v>72</v>
      </c>
      <c r="E694" s="1">
        <v>45419</v>
      </c>
      <c r="F694" t="s">
        <v>88</v>
      </c>
      <c r="G694" t="s">
        <v>26</v>
      </c>
      <c r="H694" t="str">
        <f>INDEX(Table1[Diagnosis],MATCH(I694,'codeand diagnosis'!$A$2:$A$11,0))</f>
        <v>Dental examination with radiology</v>
      </c>
      <c r="I694" t="s">
        <v>37</v>
      </c>
      <c r="J694" t="str">
        <f>INDEX(Table1[ICD-10 Code],MATCH(Table2[[#This Row],[Treatment]],Table1[Treatment Type],0))</f>
        <v>Z01.2</v>
      </c>
      <c r="K694" t="s">
        <v>28</v>
      </c>
      <c r="L694" t="s">
        <v>38</v>
      </c>
      <c r="M694" t="s">
        <v>46</v>
      </c>
      <c r="N694">
        <f>Table2[[#This Row],[Total Paid]]+Table2[[#This Row],[Due]]</f>
        <v>350</v>
      </c>
      <c r="O694">
        <v>0</v>
      </c>
      <c r="P694">
        <v>150</v>
      </c>
      <c r="Q694">
        <v>200</v>
      </c>
      <c r="R694">
        <v>0</v>
      </c>
      <c r="S694">
        <v>0</v>
      </c>
      <c r="T694">
        <v>350</v>
      </c>
      <c r="U694">
        <v>0</v>
      </c>
      <c r="V694">
        <v>350</v>
      </c>
      <c r="W694" t="s">
        <v>42</v>
      </c>
      <c r="X694" s="6" t="s">
        <v>1086</v>
      </c>
    </row>
    <row r="695" spans="1:24" hidden="1" x14ac:dyDescent="0.25">
      <c r="A695" t="s">
        <v>1092</v>
      </c>
      <c r="B695" t="s">
        <v>177</v>
      </c>
      <c r="C695" t="s">
        <v>34</v>
      </c>
      <c r="D695">
        <v>79</v>
      </c>
      <c r="E695" s="1">
        <v>45419</v>
      </c>
      <c r="F695" t="s">
        <v>88</v>
      </c>
      <c r="G695" t="s">
        <v>26</v>
      </c>
      <c r="H695" t="str">
        <f>INDEX(Table1[Diagnosis],MATCH(I695,'codeand diagnosis'!$A$2:$A$11,0))</f>
        <v>Dental examination with radiology</v>
      </c>
      <c r="I695" t="s">
        <v>37</v>
      </c>
      <c r="J695" t="str">
        <f>INDEX(Table1[ICD-10 Code],MATCH(Table2[[#This Row],[Treatment]],Table1[Treatment Type],0))</f>
        <v>Z01.2</v>
      </c>
      <c r="K695" t="s">
        <v>28</v>
      </c>
      <c r="L695" t="s">
        <v>38</v>
      </c>
      <c r="M695" t="s">
        <v>29</v>
      </c>
      <c r="N695">
        <f>Table2[[#This Row],[Total Paid]]+Table2[[#This Row],[Due]]</f>
        <v>210</v>
      </c>
      <c r="O695">
        <v>0</v>
      </c>
      <c r="P695">
        <v>150</v>
      </c>
      <c r="Q695">
        <v>200</v>
      </c>
      <c r="R695">
        <v>0</v>
      </c>
      <c r="S695">
        <v>140</v>
      </c>
      <c r="T695">
        <v>210</v>
      </c>
      <c r="U695">
        <v>0</v>
      </c>
      <c r="V695">
        <v>210</v>
      </c>
      <c r="W695" t="s">
        <v>47</v>
      </c>
      <c r="X695" s="6" t="s">
        <v>1086</v>
      </c>
    </row>
    <row r="696" spans="1:24" hidden="1" x14ac:dyDescent="0.25">
      <c r="A696" t="s">
        <v>1093</v>
      </c>
      <c r="B696" t="s">
        <v>86</v>
      </c>
      <c r="C696" t="s">
        <v>34</v>
      </c>
      <c r="D696">
        <v>56</v>
      </c>
      <c r="E696" s="1">
        <v>45511</v>
      </c>
      <c r="F696" t="s">
        <v>50</v>
      </c>
      <c r="G696" t="s">
        <v>26</v>
      </c>
      <c r="H696" t="str">
        <f>INDEX(Table1[Diagnosis],MATCH(I696,'codeand diagnosis'!$A$2:$A$11,0))</f>
        <v>Dental examination with radiology</v>
      </c>
      <c r="I696" t="s">
        <v>37</v>
      </c>
      <c r="J696" t="str">
        <f>INDEX(Table1[ICD-10 Code],MATCH(Table2[[#This Row],[Treatment]],Table1[Treatment Type],0))</f>
        <v>Z01.2</v>
      </c>
      <c r="K696" t="s">
        <v>38</v>
      </c>
      <c r="L696" t="s">
        <v>38</v>
      </c>
      <c r="M696" t="s">
        <v>29</v>
      </c>
      <c r="N696">
        <f>Table2[[#This Row],[Total Paid]]+Table2[[#This Row],[Due]]</f>
        <v>90</v>
      </c>
      <c r="O696">
        <v>0</v>
      </c>
      <c r="P696">
        <v>150</v>
      </c>
      <c r="Q696">
        <v>0</v>
      </c>
      <c r="R696">
        <v>0</v>
      </c>
      <c r="S696">
        <v>60</v>
      </c>
      <c r="T696">
        <v>90</v>
      </c>
      <c r="U696">
        <v>0</v>
      </c>
      <c r="V696">
        <v>90</v>
      </c>
      <c r="W696" t="s">
        <v>42</v>
      </c>
      <c r="X696" s="6" t="s">
        <v>1086</v>
      </c>
    </row>
    <row r="697" spans="1:24" hidden="1" x14ac:dyDescent="0.25">
      <c r="A697" t="s">
        <v>1094</v>
      </c>
      <c r="B697" t="s">
        <v>118</v>
      </c>
      <c r="C697" t="s">
        <v>24</v>
      </c>
      <c r="D697">
        <v>64</v>
      </c>
      <c r="E697" s="1">
        <v>45542</v>
      </c>
      <c r="F697" t="s">
        <v>88</v>
      </c>
      <c r="G697" t="s">
        <v>26</v>
      </c>
      <c r="H697" t="str">
        <f>INDEX(Table1[Diagnosis],MATCH(I697,'codeand diagnosis'!$A$2:$A$11,0))</f>
        <v>Dental examination</v>
      </c>
      <c r="I697" t="s">
        <v>45</v>
      </c>
      <c r="J697" t="str">
        <f>INDEX(Table1[ICD-10 Code],MATCH(Table2[[#This Row],[Treatment]],Table1[Treatment Type],0))</f>
        <v>Z01.2</v>
      </c>
      <c r="K697" t="s">
        <v>28</v>
      </c>
      <c r="L697" t="s">
        <v>28</v>
      </c>
      <c r="M697" t="s">
        <v>29</v>
      </c>
      <c r="N697">
        <f>Table2[[#This Row],[Total Paid]]+Table2[[#This Row],[Due]]</f>
        <v>200</v>
      </c>
      <c r="O697">
        <v>0</v>
      </c>
      <c r="P697">
        <v>0</v>
      </c>
      <c r="Q697">
        <v>200</v>
      </c>
      <c r="R697">
        <v>0</v>
      </c>
      <c r="S697">
        <v>0</v>
      </c>
      <c r="T697">
        <v>200</v>
      </c>
      <c r="U697">
        <v>0</v>
      </c>
      <c r="V697">
        <v>200</v>
      </c>
      <c r="W697" t="s">
        <v>51</v>
      </c>
      <c r="X697" s="6" t="s">
        <v>1086</v>
      </c>
    </row>
    <row r="698" spans="1:24" hidden="1" x14ac:dyDescent="0.25">
      <c r="A698" t="s">
        <v>1095</v>
      </c>
      <c r="B698" t="s">
        <v>271</v>
      </c>
      <c r="C698" t="s">
        <v>24</v>
      </c>
      <c r="D698">
        <v>31</v>
      </c>
      <c r="E698" s="1">
        <v>45572</v>
      </c>
      <c r="F698" t="s">
        <v>25</v>
      </c>
      <c r="G698" t="s">
        <v>26</v>
      </c>
      <c r="H698" t="str">
        <f>INDEX(Table1[Diagnosis],MATCH(I698,'codeand diagnosis'!$A$2:$A$11,0))</f>
        <v>Pulpitis</v>
      </c>
      <c r="I698" t="s">
        <v>111</v>
      </c>
      <c r="J698" t="str">
        <f>INDEX(Table1[ICD-10 Code],MATCH(Table2[[#This Row],[Treatment]],Table1[Treatment Type],0))</f>
        <v>K04.0</v>
      </c>
      <c r="K698" t="s">
        <v>38</v>
      </c>
      <c r="L698" t="s">
        <v>38</v>
      </c>
      <c r="M698" t="s">
        <v>29</v>
      </c>
      <c r="N698">
        <f>Table2[[#This Row],[Total Paid]]+Table2[[#This Row],[Due]]</f>
        <v>3853</v>
      </c>
      <c r="O698">
        <v>3853</v>
      </c>
      <c r="P698">
        <v>0</v>
      </c>
      <c r="Q698">
        <v>0</v>
      </c>
      <c r="R698">
        <v>0</v>
      </c>
      <c r="S698">
        <v>0</v>
      </c>
      <c r="T698">
        <v>3853</v>
      </c>
      <c r="U698">
        <v>0</v>
      </c>
      <c r="V698">
        <v>3853</v>
      </c>
      <c r="W698" t="s">
        <v>42</v>
      </c>
      <c r="X698" s="6" t="s">
        <v>1086</v>
      </c>
    </row>
    <row r="699" spans="1:24" hidden="1" x14ac:dyDescent="0.25">
      <c r="A699" t="s">
        <v>1096</v>
      </c>
      <c r="B699" t="s">
        <v>113</v>
      </c>
      <c r="C699" t="s">
        <v>24</v>
      </c>
      <c r="D699">
        <v>18</v>
      </c>
      <c r="E699" s="1">
        <v>45603</v>
      </c>
      <c r="F699" t="s">
        <v>88</v>
      </c>
      <c r="G699" t="s">
        <v>26</v>
      </c>
      <c r="H699" t="str">
        <f>INDEX(Table1[Diagnosis],MATCH(I699,'codeand diagnosis'!$A$2:$A$11,0))</f>
        <v>Missing teeth</v>
      </c>
      <c r="I699" t="s">
        <v>78</v>
      </c>
      <c r="J699" t="str">
        <f>INDEX(Table1[ICD-10 Code],MATCH(Table2[[#This Row],[Treatment]],Table1[Treatment Type],0))</f>
        <v>K08.1</v>
      </c>
      <c r="K699" t="s">
        <v>28</v>
      </c>
      <c r="L699" t="s">
        <v>38</v>
      </c>
      <c r="M699" t="s">
        <v>46</v>
      </c>
      <c r="N699">
        <f>Table2[[#This Row],[Total Paid]]+Table2[[#This Row],[Due]]</f>
        <v>20844</v>
      </c>
      <c r="O699">
        <v>20844</v>
      </c>
      <c r="P699">
        <v>0</v>
      </c>
      <c r="Q699">
        <v>0</v>
      </c>
      <c r="R699">
        <v>5760</v>
      </c>
      <c r="S699">
        <v>0</v>
      </c>
      <c r="T699">
        <v>20844</v>
      </c>
      <c r="U699">
        <v>0</v>
      </c>
      <c r="V699">
        <v>15084</v>
      </c>
      <c r="W699" t="s">
        <v>47</v>
      </c>
      <c r="X699" s="6" t="s">
        <v>1086</v>
      </c>
    </row>
    <row r="700" spans="1:24" hidden="1" x14ac:dyDescent="0.25">
      <c r="A700" t="s">
        <v>1097</v>
      </c>
      <c r="B700" t="s">
        <v>188</v>
      </c>
      <c r="C700" t="s">
        <v>34</v>
      </c>
      <c r="D700">
        <v>19</v>
      </c>
      <c r="E700" s="1">
        <v>45603</v>
      </c>
      <c r="F700" t="s">
        <v>88</v>
      </c>
      <c r="G700" t="s">
        <v>26</v>
      </c>
      <c r="H700" t="str">
        <f>INDEX(Table1[Diagnosis],MATCH(I700,'codeand diagnosis'!$A$2:$A$11,0))</f>
        <v>Dental examination with radiology</v>
      </c>
      <c r="I700" t="s">
        <v>37</v>
      </c>
      <c r="J700" t="str">
        <f>INDEX(Table1[ICD-10 Code],MATCH(Table2[[#This Row],[Treatment]],Table1[Treatment Type],0))</f>
        <v>Z01.2</v>
      </c>
      <c r="K700" t="s">
        <v>28</v>
      </c>
      <c r="L700" t="s">
        <v>38</v>
      </c>
      <c r="M700" t="s">
        <v>29</v>
      </c>
      <c r="N700">
        <f>Table2[[#This Row],[Total Paid]]+Table2[[#This Row],[Due]]</f>
        <v>350</v>
      </c>
      <c r="O700">
        <v>0</v>
      </c>
      <c r="P700">
        <v>150</v>
      </c>
      <c r="Q700">
        <v>200</v>
      </c>
      <c r="R700">
        <v>0</v>
      </c>
      <c r="S700">
        <v>0</v>
      </c>
      <c r="T700">
        <v>350</v>
      </c>
      <c r="U700">
        <v>0</v>
      </c>
      <c r="V700">
        <v>350</v>
      </c>
      <c r="W700" t="s">
        <v>42</v>
      </c>
      <c r="X700" s="6" t="s">
        <v>1086</v>
      </c>
    </row>
    <row r="701" spans="1:24" hidden="1" x14ac:dyDescent="0.25">
      <c r="A701" t="s">
        <v>1098</v>
      </c>
      <c r="B701" t="s">
        <v>431</v>
      </c>
      <c r="C701" t="s">
        <v>34</v>
      </c>
      <c r="D701">
        <v>45</v>
      </c>
      <c r="E701" s="1">
        <v>45633</v>
      </c>
      <c r="F701" t="s">
        <v>50</v>
      </c>
      <c r="G701" t="s">
        <v>26</v>
      </c>
      <c r="H701" t="str">
        <f>INDEX(Table1[Diagnosis],MATCH(I701,'codeand diagnosis'!$A$2:$A$11,0))</f>
        <v>Dental examination</v>
      </c>
      <c r="I701" t="s">
        <v>45</v>
      </c>
      <c r="J701" t="str">
        <f>INDEX(Table1[ICD-10 Code],MATCH(Table2[[#This Row],[Treatment]],Table1[Treatment Type],0))</f>
        <v>Z01.2</v>
      </c>
      <c r="K701" t="s">
        <v>28</v>
      </c>
      <c r="L701" t="s">
        <v>28</v>
      </c>
      <c r="M701" t="s">
        <v>29</v>
      </c>
      <c r="N701">
        <f>Table2[[#This Row],[Total Paid]]+Table2[[#This Row],[Due]]</f>
        <v>200</v>
      </c>
      <c r="O701">
        <v>0</v>
      </c>
      <c r="P701">
        <v>0</v>
      </c>
      <c r="Q701">
        <v>200</v>
      </c>
      <c r="R701">
        <v>0</v>
      </c>
      <c r="S701">
        <v>0</v>
      </c>
      <c r="T701">
        <v>200</v>
      </c>
      <c r="U701">
        <v>0</v>
      </c>
      <c r="V701">
        <v>200</v>
      </c>
      <c r="W701" t="s">
        <v>51</v>
      </c>
      <c r="X701" s="6" t="s">
        <v>1086</v>
      </c>
    </row>
    <row r="702" spans="1:24" hidden="1" x14ac:dyDescent="0.25">
      <c r="A702" t="s">
        <v>1099</v>
      </c>
      <c r="B702" t="s">
        <v>84</v>
      </c>
      <c r="C702" t="s">
        <v>34</v>
      </c>
      <c r="D702">
        <v>39</v>
      </c>
      <c r="E702" t="s">
        <v>1100</v>
      </c>
      <c r="F702" t="s">
        <v>104</v>
      </c>
      <c r="G702" t="s">
        <v>26</v>
      </c>
      <c r="H702" t="str">
        <f>INDEX(Table1[Diagnosis],MATCH(I702,'codeand diagnosis'!$A$2:$A$11,0))</f>
        <v>Dental examination</v>
      </c>
      <c r="I702" t="s">
        <v>45</v>
      </c>
      <c r="J702" t="str">
        <f>INDEX(Table1[ICD-10 Code],MATCH(Table2[[#This Row],[Treatment]],Table1[Treatment Type],0))</f>
        <v>Z01.2</v>
      </c>
      <c r="K702" t="s">
        <v>38</v>
      </c>
      <c r="L702" t="s">
        <v>28</v>
      </c>
      <c r="M702" t="s">
        <v>29</v>
      </c>
      <c r="N702">
        <f>Table2[[#This Row],[Total Paid]]+Table2[[#This Row],[Due]]</f>
        <v>0</v>
      </c>
      <c r="O702">
        <v>0</v>
      </c>
      <c r="P702">
        <v>0</v>
      </c>
      <c r="Q702">
        <v>0</v>
      </c>
      <c r="R702">
        <v>0</v>
      </c>
      <c r="S702">
        <v>0</v>
      </c>
      <c r="T702">
        <v>0</v>
      </c>
      <c r="U702">
        <v>0</v>
      </c>
      <c r="V702">
        <v>0</v>
      </c>
      <c r="W702" t="s">
        <v>47</v>
      </c>
      <c r="X702" s="6" t="s">
        <v>1086</v>
      </c>
    </row>
    <row r="703" spans="1:24" hidden="1" x14ac:dyDescent="0.25">
      <c r="A703" t="s">
        <v>1101</v>
      </c>
      <c r="B703" t="s">
        <v>121</v>
      </c>
      <c r="C703" t="s">
        <v>34</v>
      </c>
      <c r="D703">
        <v>13</v>
      </c>
      <c r="E703" t="s">
        <v>1100</v>
      </c>
      <c r="F703" t="s">
        <v>60</v>
      </c>
      <c r="G703" t="s">
        <v>26</v>
      </c>
      <c r="H703" t="str">
        <f>INDEX(Table1[Diagnosis],MATCH(I703,'codeand diagnosis'!$A$2:$A$11,0))</f>
        <v>Dental examination with radiology</v>
      </c>
      <c r="I703" t="s">
        <v>37</v>
      </c>
      <c r="J703" t="str">
        <f>INDEX(Table1[ICD-10 Code],MATCH(Table2[[#This Row],[Treatment]],Table1[Treatment Type],0))</f>
        <v>Z01.2</v>
      </c>
      <c r="K703" t="s">
        <v>28</v>
      </c>
      <c r="L703" t="s">
        <v>38</v>
      </c>
      <c r="M703" t="s">
        <v>46</v>
      </c>
      <c r="N703">
        <f>Table2[[#This Row],[Total Paid]]+Table2[[#This Row],[Due]]</f>
        <v>350</v>
      </c>
      <c r="O703">
        <v>0</v>
      </c>
      <c r="P703">
        <v>150</v>
      </c>
      <c r="Q703">
        <v>200</v>
      </c>
      <c r="R703">
        <v>0</v>
      </c>
      <c r="S703">
        <v>0</v>
      </c>
      <c r="T703">
        <v>350</v>
      </c>
      <c r="U703">
        <v>0</v>
      </c>
      <c r="V703">
        <v>350</v>
      </c>
      <c r="W703" t="s">
        <v>51</v>
      </c>
      <c r="X703" s="6" t="s">
        <v>1086</v>
      </c>
    </row>
    <row r="704" spans="1:24" hidden="1" x14ac:dyDescent="0.25">
      <c r="A704" t="s">
        <v>1102</v>
      </c>
      <c r="B704" t="s">
        <v>204</v>
      </c>
      <c r="C704" t="s">
        <v>34</v>
      </c>
      <c r="D704">
        <v>12</v>
      </c>
      <c r="E704" t="s">
        <v>1103</v>
      </c>
      <c r="F704" t="s">
        <v>50</v>
      </c>
      <c r="G704" t="s">
        <v>26</v>
      </c>
      <c r="H704" t="str">
        <f>INDEX(Table1[Diagnosis],MATCH(I704,'codeand diagnosis'!$A$2:$A$11,0))</f>
        <v>Dental examination with radiology</v>
      </c>
      <c r="I704" t="s">
        <v>37</v>
      </c>
      <c r="J704" t="str">
        <f>INDEX(Table1[ICD-10 Code],MATCH(Table2[[#This Row],[Treatment]],Table1[Treatment Type],0))</f>
        <v>Z01.2</v>
      </c>
      <c r="K704" t="s">
        <v>28</v>
      </c>
      <c r="L704" t="s">
        <v>38</v>
      </c>
      <c r="M704" t="s">
        <v>46</v>
      </c>
      <c r="N704">
        <f>Table2[[#This Row],[Total Paid]]+Table2[[#This Row],[Due]]</f>
        <v>350</v>
      </c>
      <c r="O704">
        <v>0</v>
      </c>
      <c r="P704">
        <v>150</v>
      </c>
      <c r="Q704">
        <v>200</v>
      </c>
      <c r="R704">
        <v>0</v>
      </c>
      <c r="S704">
        <v>0</v>
      </c>
      <c r="T704">
        <v>350</v>
      </c>
      <c r="U704">
        <v>0</v>
      </c>
      <c r="V704">
        <v>350</v>
      </c>
      <c r="W704" t="s">
        <v>30</v>
      </c>
      <c r="X704" s="6" t="s">
        <v>1086</v>
      </c>
    </row>
    <row r="705" spans="1:24" hidden="1" x14ac:dyDescent="0.25">
      <c r="A705" t="s">
        <v>1104</v>
      </c>
      <c r="B705" t="s">
        <v>188</v>
      </c>
      <c r="C705" t="s">
        <v>34</v>
      </c>
      <c r="D705">
        <v>68</v>
      </c>
      <c r="E705" t="s">
        <v>1105</v>
      </c>
      <c r="F705" t="s">
        <v>35</v>
      </c>
      <c r="G705" t="s">
        <v>26</v>
      </c>
      <c r="H705" t="str">
        <f>INDEX(Table1[Diagnosis],MATCH(I705,'codeand diagnosis'!$A$2:$A$11,0))</f>
        <v>Dental examination with radiology</v>
      </c>
      <c r="I705" t="s">
        <v>37</v>
      </c>
      <c r="J705" t="str">
        <f>INDEX(Table1[ICD-10 Code],MATCH(Table2[[#This Row],[Treatment]],Table1[Treatment Type],0))</f>
        <v>Z01.2</v>
      </c>
      <c r="K705" t="s">
        <v>38</v>
      </c>
      <c r="L705" t="s">
        <v>38</v>
      </c>
      <c r="M705" t="s">
        <v>46</v>
      </c>
      <c r="N705">
        <f>Table2[[#This Row],[Total Paid]]+Table2[[#This Row],[Due]]</f>
        <v>150</v>
      </c>
      <c r="O705">
        <v>0</v>
      </c>
      <c r="P705">
        <v>150</v>
      </c>
      <c r="Q705">
        <v>0</v>
      </c>
      <c r="R705">
        <v>0</v>
      </c>
      <c r="S705">
        <v>0</v>
      </c>
      <c r="T705">
        <v>150</v>
      </c>
      <c r="U705">
        <v>0</v>
      </c>
      <c r="V705">
        <v>150</v>
      </c>
      <c r="W705" t="s">
        <v>42</v>
      </c>
      <c r="X705" s="6" t="s">
        <v>1086</v>
      </c>
    </row>
    <row r="706" spans="1:24" hidden="1" x14ac:dyDescent="0.25">
      <c r="A706" t="s">
        <v>1106</v>
      </c>
      <c r="B706" t="s">
        <v>398</v>
      </c>
      <c r="C706" t="s">
        <v>34</v>
      </c>
      <c r="D706">
        <v>9</v>
      </c>
      <c r="E706" t="s">
        <v>1107</v>
      </c>
      <c r="F706" t="s">
        <v>25</v>
      </c>
      <c r="G706" t="s">
        <v>36</v>
      </c>
      <c r="H706" t="str">
        <f>INDEX(Table1[Diagnosis],MATCH(I706,'codeand diagnosis'!$A$2:$A$11,0))</f>
        <v>Dental caries</v>
      </c>
      <c r="I706" t="s">
        <v>41</v>
      </c>
      <c r="J706" t="str">
        <f>INDEX(Table1[ICD-10 Code],MATCH(Table2[[#This Row],[Treatment]],Table1[Treatment Type],0))</f>
        <v>K02.9</v>
      </c>
      <c r="K706" t="s">
        <v>28</v>
      </c>
      <c r="L706" t="s">
        <v>38</v>
      </c>
      <c r="M706" t="s">
        <v>29</v>
      </c>
      <c r="N706">
        <f>Table2[[#This Row],[Total Paid]]+Table2[[#This Row],[Due]]</f>
        <v>676</v>
      </c>
      <c r="O706">
        <v>676</v>
      </c>
      <c r="P706">
        <v>0</v>
      </c>
      <c r="Q706">
        <v>0</v>
      </c>
      <c r="R706">
        <v>0</v>
      </c>
      <c r="S706">
        <v>0</v>
      </c>
      <c r="T706">
        <v>676</v>
      </c>
      <c r="U706">
        <v>0</v>
      </c>
      <c r="V706">
        <v>676</v>
      </c>
      <c r="W706" t="s">
        <v>47</v>
      </c>
      <c r="X706" s="6" t="s">
        <v>1086</v>
      </c>
    </row>
    <row r="707" spans="1:24" hidden="1" x14ac:dyDescent="0.25">
      <c r="A707" t="s">
        <v>1108</v>
      </c>
      <c r="B707" t="s">
        <v>361</v>
      </c>
      <c r="C707" t="s">
        <v>34</v>
      </c>
      <c r="D707">
        <v>49</v>
      </c>
      <c r="E707" t="s">
        <v>1107</v>
      </c>
      <c r="F707" t="s">
        <v>50</v>
      </c>
      <c r="G707" t="s">
        <v>36</v>
      </c>
      <c r="H707" t="str">
        <f>INDEX(Table1[Diagnosis],MATCH(I707,'codeand diagnosis'!$A$2:$A$11,0))</f>
        <v>Dental examination</v>
      </c>
      <c r="I707" t="s">
        <v>45</v>
      </c>
      <c r="J707" t="str">
        <f>INDEX(Table1[ICD-10 Code],MATCH(Table2[[#This Row],[Treatment]],Table1[Treatment Type],0))</f>
        <v>Z01.2</v>
      </c>
      <c r="K707" t="s">
        <v>28</v>
      </c>
      <c r="L707" t="s">
        <v>28</v>
      </c>
      <c r="M707" t="s">
        <v>29</v>
      </c>
      <c r="N707">
        <f>Table2[[#This Row],[Total Paid]]+Table2[[#This Row],[Due]]</f>
        <v>120</v>
      </c>
      <c r="O707">
        <v>0</v>
      </c>
      <c r="P707">
        <v>0</v>
      </c>
      <c r="Q707">
        <v>200</v>
      </c>
      <c r="R707">
        <v>0</v>
      </c>
      <c r="S707">
        <v>80</v>
      </c>
      <c r="T707">
        <v>120</v>
      </c>
      <c r="U707">
        <v>0</v>
      </c>
      <c r="V707">
        <v>120</v>
      </c>
      <c r="W707" t="s">
        <v>51</v>
      </c>
      <c r="X707" s="6" t="s">
        <v>1086</v>
      </c>
    </row>
    <row r="708" spans="1:24" hidden="1" x14ac:dyDescent="0.25">
      <c r="A708" t="s">
        <v>1109</v>
      </c>
      <c r="B708" t="s">
        <v>173</v>
      </c>
      <c r="C708" t="s">
        <v>24</v>
      </c>
      <c r="D708">
        <v>16</v>
      </c>
      <c r="E708" t="s">
        <v>1110</v>
      </c>
      <c r="F708" t="s">
        <v>35</v>
      </c>
      <c r="G708" t="s">
        <v>26</v>
      </c>
      <c r="H708" t="str">
        <f>INDEX(Table1[Diagnosis],MATCH(I708,'codeand diagnosis'!$A$2:$A$11,0))</f>
        <v>Dental examination</v>
      </c>
      <c r="I708" t="s">
        <v>45</v>
      </c>
      <c r="J708" t="str">
        <f>INDEX(Table1[ICD-10 Code],MATCH(Table2[[#This Row],[Treatment]],Table1[Treatment Type],0))</f>
        <v>Z01.2</v>
      </c>
      <c r="K708" t="s">
        <v>38</v>
      </c>
      <c r="L708" t="s">
        <v>28</v>
      </c>
      <c r="M708" t="s">
        <v>29</v>
      </c>
      <c r="N708">
        <f>Table2[[#This Row],[Total Paid]]+Table2[[#This Row],[Due]]</f>
        <v>0</v>
      </c>
      <c r="O708">
        <v>0</v>
      </c>
      <c r="P708">
        <v>0</v>
      </c>
      <c r="Q708">
        <v>0</v>
      </c>
      <c r="R708">
        <v>0</v>
      </c>
      <c r="S708">
        <v>0</v>
      </c>
      <c r="T708">
        <v>0</v>
      </c>
      <c r="U708">
        <v>0</v>
      </c>
      <c r="V708">
        <v>0</v>
      </c>
      <c r="W708" t="s">
        <v>42</v>
      </c>
      <c r="X708" s="6" t="s">
        <v>1086</v>
      </c>
    </row>
    <row r="709" spans="1:24" hidden="1" x14ac:dyDescent="0.25">
      <c r="A709" t="s">
        <v>1111</v>
      </c>
      <c r="B709" t="s">
        <v>340</v>
      </c>
      <c r="C709" t="s">
        <v>34</v>
      </c>
      <c r="D709">
        <v>43</v>
      </c>
      <c r="E709" t="s">
        <v>1112</v>
      </c>
      <c r="F709" t="s">
        <v>35</v>
      </c>
      <c r="G709" t="s">
        <v>26</v>
      </c>
      <c r="H709" t="str">
        <f>INDEX(Table1[Diagnosis],MATCH(I709,'codeand diagnosis'!$A$2:$A$11,0))</f>
        <v>Malocclusion</v>
      </c>
      <c r="I709" t="s">
        <v>89</v>
      </c>
      <c r="J709" t="str">
        <f>INDEX(Table1[ICD-10 Code],MATCH(Table2[[#This Row],[Treatment]],Table1[Treatment Type],0))</f>
        <v>K07.4</v>
      </c>
      <c r="K709" t="s">
        <v>28</v>
      </c>
      <c r="L709" t="s">
        <v>38</v>
      </c>
      <c r="M709" t="s">
        <v>29</v>
      </c>
      <c r="N709">
        <f>Table2[[#This Row],[Total Paid]]+Table2[[#This Row],[Due]]</f>
        <v>11794</v>
      </c>
      <c r="O709">
        <v>12544</v>
      </c>
      <c r="P709">
        <v>0</v>
      </c>
      <c r="Q709">
        <v>0</v>
      </c>
      <c r="R709">
        <v>3020</v>
      </c>
      <c r="S709">
        <v>750</v>
      </c>
      <c r="T709">
        <v>11794</v>
      </c>
      <c r="U709">
        <v>0</v>
      </c>
      <c r="V709">
        <v>8774</v>
      </c>
      <c r="W709" t="s">
        <v>42</v>
      </c>
      <c r="X709" s="6" t="s">
        <v>1086</v>
      </c>
    </row>
    <row r="710" spans="1:24" hidden="1" x14ac:dyDescent="0.25">
      <c r="A710" t="s">
        <v>1113</v>
      </c>
      <c r="B710" t="s">
        <v>284</v>
      </c>
      <c r="C710" t="s">
        <v>34</v>
      </c>
      <c r="D710">
        <v>36</v>
      </c>
      <c r="E710" t="s">
        <v>1112</v>
      </c>
      <c r="F710" t="s">
        <v>245</v>
      </c>
      <c r="G710" t="s">
        <v>26</v>
      </c>
      <c r="H710" t="str">
        <f>INDEX(Table1[Diagnosis],MATCH(I710,'codeand diagnosis'!$A$2:$A$11,0))</f>
        <v>Dental examination with radiology</v>
      </c>
      <c r="I710" t="s">
        <v>37</v>
      </c>
      <c r="J710" t="str">
        <f>INDEX(Table1[ICD-10 Code],MATCH(Table2[[#This Row],[Treatment]],Table1[Treatment Type],0))</f>
        <v>Z01.2</v>
      </c>
      <c r="K710" t="s">
        <v>28</v>
      </c>
      <c r="L710" t="s">
        <v>38</v>
      </c>
      <c r="M710" t="s">
        <v>29</v>
      </c>
      <c r="N710">
        <f>Table2[[#This Row],[Total Paid]]+Table2[[#This Row],[Due]]</f>
        <v>210</v>
      </c>
      <c r="O710">
        <v>0</v>
      </c>
      <c r="P710">
        <v>150</v>
      </c>
      <c r="Q710">
        <v>200</v>
      </c>
      <c r="R710">
        <v>0</v>
      </c>
      <c r="S710">
        <v>140</v>
      </c>
      <c r="T710">
        <v>210</v>
      </c>
      <c r="U710">
        <v>0</v>
      </c>
      <c r="V710">
        <v>210</v>
      </c>
      <c r="W710" t="s">
        <v>51</v>
      </c>
      <c r="X710" s="6" t="s">
        <v>1086</v>
      </c>
    </row>
    <row r="711" spans="1:24" hidden="1" x14ac:dyDescent="0.25">
      <c r="A711" t="s">
        <v>1114</v>
      </c>
      <c r="B711" t="s">
        <v>109</v>
      </c>
      <c r="C711" t="s">
        <v>34</v>
      </c>
      <c r="D711">
        <v>32</v>
      </c>
      <c r="E711" t="s">
        <v>1115</v>
      </c>
      <c r="F711" t="s">
        <v>50</v>
      </c>
      <c r="G711" t="s">
        <v>36</v>
      </c>
      <c r="H711" t="str">
        <f>INDEX(Table1[Diagnosis],MATCH(I711,'codeand diagnosis'!$A$2:$A$11,0))</f>
        <v>Dental examination with radiology</v>
      </c>
      <c r="I711" t="s">
        <v>37</v>
      </c>
      <c r="J711" t="str">
        <f>INDEX(Table1[ICD-10 Code],MATCH(Table2[[#This Row],[Treatment]],Table1[Treatment Type],0))</f>
        <v>Z01.2</v>
      </c>
      <c r="K711" t="s">
        <v>28</v>
      </c>
      <c r="L711" t="s">
        <v>38</v>
      </c>
      <c r="M711" t="s">
        <v>46</v>
      </c>
      <c r="N711">
        <f>Table2[[#This Row],[Total Paid]]+Table2[[#This Row],[Due]]</f>
        <v>350</v>
      </c>
      <c r="O711">
        <v>0</v>
      </c>
      <c r="P711">
        <v>150</v>
      </c>
      <c r="Q711">
        <v>200</v>
      </c>
      <c r="R711">
        <v>0</v>
      </c>
      <c r="S711">
        <v>0</v>
      </c>
      <c r="T711">
        <v>350</v>
      </c>
      <c r="U711">
        <v>0</v>
      </c>
      <c r="V711">
        <v>350</v>
      </c>
      <c r="W711" t="s">
        <v>30</v>
      </c>
      <c r="X711" s="6" t="s">
        <v>1086</v>
      </c>
    </row>
    <row r="712" spans="1:24" hidden="1" x14ac:dyDescent="0.25">
      <c r="A712" t="s">
        <v>1116</v>
      </c>
      <c r="B712" t="s">
        <v>279</v>
      </c>
      <c r="C712" t="s">
        <v>34</v>
      </c>
      <c r="D712">
        <v>59</v>
      </c>
      <c r="E712" t="s">
        <v>1117</v>
      </c>
      <c r="F712" t="s">
        <v>35</v>
      </c>
      <c r="G712" t="s">
        <v>26</v>
      </c>
      <c r="H712" t="str">
        <f>INDEX(Table1[Diagnosis],MATCH(I712,'codeand diagnosis'!$A$2:$A$11,0))</f>
        <v>Cosmetic procedure</v>
      </c>
      <c r="I712" t="s">
        <v>55</v>
      </c>
      <c r="J712" t="str">
        <f>INDEX(Table1[ICD-10 Code],MATCH(Table2[[#This Row],[Treatment]],Table1[Treatment Type],0))</f>
        <v>Z41.1</v>
      </c>
      <c r="K712" t="s">
        <v>28</v>
      </c>
      <c r="L712" t="s">
        <v>38</v>
      </c>
      <c r="M712" t="s">
        <v>29</v>
      </c>
      <c r="N712">
        <f>Table2[[#This Row],[Total Paid]]+Table2[[#This Row],[Due]]</f>
        <v>1378</v>
      </c>
      <c r="O712">
        <v>1478</v>
      </c>
      <c r="P712">
        <v>0</v>
      </c>
      <c r="Q712">
        <v>0</v>
      </c>
      <c r="R712">
        <v>0</v>
      </c>
      <c r="S712">
        <v>100</v>
      </c>
      <c r="T712">
        <v>1378</v>
      </c>
      <c r="U712">
        <v>0</v>
      </c>
      <c r="V712">
        <v>1378</v>
      </c>
      <c r="W712" t="s">
        <v>42</v>
      </c>
      <c r="X712" s="6" t="s">
        <v>1086</v>
      </c>
    </row>
    <row r="713" spans="1:24" hidden="1" x14ac:dyDescent="0.25">
      <c r="A713" t="s">
        <v>1118</v>
      </c>
      <c r="B713" t="s">
        <v>296</v>
      </c>
      <c r="C713" t="s">
        <v>24</v>
      </c>
      <c r="D713">
        <v>71</v>
      </c>
      <c r="E713" t="s">
        <v>1117</v>
      </c>
      <c r="F713" t="s">
        <v>132</v>
      </c>
      <c r="G713" t="s">
        <v>26</v>
      </c>
      <c r="H713" t="str">
        <f>INDEX(Table1[Diagnosis],MATCH(I713,'codeand diagnosis'!$A$2:$A$11,0))</f>
        <v>Missing teeth</v>
      </c>
      <c r="I713" t="s">
        <v>78</v>
      </c>
      <c r="J713" t="str">
        <f>INDEX(Table1[ICD-10 Code],MATCH(Table2[[#This Row],[Treatment]],Table1[Treatment Type],0))</f>
        <v>K08.1</v>
      </c>
      <c r="K713" t="s">
        <v>38</v>
      </c>
      <c r="L713" t="s">
        <v>38</v>
      </c>
      <c r="M713" t="s">
        <v>46</v>
      </c>
      <c r="N713">
        <f>Table2[[#This Row],[Total Paid]]+Table2[[#This Row],[Due]]</f>
        <v>17509</v>
      </c>
      <c r="O713">
        <v>18259</v>
      </c>
      <c r="P713">
        <v>0</v>
      </c>
      <c r="Q713">
        <v>0</v>
      </c>
      <c r="R713">
        <v>5070</v>
      </c>
      <c r="S713">
        <v>750</v>
      </c>
      <c r="T713">
        <v>17509</v>
      </c>
      <c r="U713">
        <v>0</v>
      </c>
      <c r="V713">
        <v>12439</v>
      </c>
      <c r="W713" t="s">
        <v>51</v>
      </c>
      <c r="X713" s="6" t="s">
        <v>1086</v>
      </c>
    </row>
    <row r="714" spans="1:24" x14ac:dyDescent="0.25">
      <c r="A714" t="s">
        <v>1119</v>
      </c>
      <c r="B714" t="s">
        <v>173</v>
      </c>
      <c r="C714" t="s">
        <v>24</v>
      </c>
      <c r="D714">
        <v>5</v>
      </c>
      <c r="E714" t="s">
        <v>1120</v>
      </c>
      <c r="F714" t="s">
        <v>35</v>
      </c>
      <c r="G714" t="s">
        <v>26</v>
      </c>
      <c r="H714" t="str">
        <f>INDEX(Table1[Diagnosis],MATCH(I714,'codeand diagnosis'!$A$2:$A$11,0))</f>
        <v>Dental examination with radiology</v>
      </c>
      <c r="I714" t="s">
        <v>37</v>
      </c>
      <c r="J714" t="str">
        <f>INDEX(Table1[ICD-10 Code],MATCH(Table2[[#This Row],[Treatment]],Table1[Treatment Type],0))</f>
        <v>Z01.2</v>
      </c>
      <c r="K714" t="s">
        <v>28</v>
      </c>
      <c r="L714" t="s">
        <v>38</v>
      </c>
      <c r="M714" t="s">
        <v>29</v>
      </c>
      <c r="N714">
        <f>Table2[[#This Row],[Total Paid]]+Table2[[#This Row],[Due]]</f>
        <v>350</v>
      </c>
      <c r="O714">
        <v>0</v>
      </c>
      <c r="P714">
        <v>150</v>
      </c>
      <c r="Q714">
        <v>200</v>
      </c>
      <c r="R714">
        <v>0</v>
      </c>
      <c r="S714">
        <v>0</v>
      </c>
      <c r="T714">
        <v>350</v>
      </c>
      <c r="U714">
        <v>0</v>
      </c>
      <c r="V714">
        <v>350</v>
      </c>
      <c r="W714" t="s">
        <v>51</v>
      </c>
      <c r="X714" s="6" t="s">
        <v>1086</v>
      </c>
    </row>
    <row r="715" spans="1:24" hidden="1" x14ac:dyDescent="0.25">
      <c r="A715" t="s">
        <v>1121</v>
      </c>
      <c r="B715" t="s">
        <v>201</v>
      </c>
      <c r="C715" t="s">
        <v>34</v>
      </c>
      <c r="D715">
        <v>54</v>
      </c>
      <c r="E715" t="s">
        <v>1120</v>
      </c>
      <c r="F715" t="s">
        <v>88</v>
      </c>
      <c r="G715" t="s">
        <v>26</v>
      </c>
      <c r="H715" t="str">
        <f>INDEX(Table1[Diagnosis],MATCH(I715,'codeand diagnosis'!$A$2:$A$11,0))</f>
        <v>Dental examination with radiology</v>
      </c>
      <c r="I715" t="s">
        <v>37</v>
      </c>
      <c r="J715" t="str">
        <f>INDEX(Table1[ICD-10 Code],MATCH(Table2[[#This Row],[Treatment]],Table1[Treatment Type],0))</f>
        <v>Z01.2</v>
      </c>
      <c r="K715" t="s">
        <v>28</v>
      </c>
      <c r="L715" t="s">
        <v>38</v>
      </c>
      <c r="M715" t="s">
        <v>29</v>
      </c>
      <c r="N715">
        <f>Table2[[#This Row],[Total Paid]]+Table2[[#This Row],[Due]]</f>
        <v>210</v>
      </c>
      <c r="O715">
        <v>0</v>
      </c>
      <c r="P715">
        <v>150</v>
      </c>
      <c r="Q715">
        <v>200</v>
      </c>
      <c r="R715">
        <v>0</v>
      </c>
      <c r="S715">
        <v>140</v>
      </c>
      <c r="T715">
        <v>210</v>
      </c>
      <c r="U715">
        <v>0</v>
      </c>
      <c r="V715">
        <v>210</v>
      </c>
      <c r="W715" t="s">
        <v>47</v>
      </c>
      <c r="X715" s="6" t="s">
        <v>1086</v>
      </c>
    </row>
    <row r="716" spans="1:24" hidden="1" x14ac:dyDescent="0.25">
      <c r="A716" t="s">
        <v>1122</v>
      </c>
      <c r="B716" t="s">
        <v>77</v>
      </c>
      <c r="C716" t="s">
        <v>34</v>
      </c>
      <c r="D716">
        <v>36</v>
      </c>
      <c r="E716" t="s">
        <v>1123</v>
      </c>
      <c r="F716" t="s">
        <v>50</v>
      </c>
      <c r="G716" t="s">
        <v>26</v>
      </c>
      <c r="H716" t="str">
        <f>INDEX(Table1[Diagnosis],MATCH(I716,'codeand diagnosis'!$A$2:$A$11,0))</f>
        <v>Dental examination with radiology</v>
      </c>
      <c r="I716" t="s">
        <v>37</v>
      </c>
      <c r="J716" t="str">
        <f>INDEX(Table1[ICD-10 Code],MATCH(Table2[[#This Row],[Treatment]],Table1[Treatment Type],0))</f>
        <v>Z01.2</v>
      </c>
      <c r="K716" t="s">
        <v>38</v>
      </c>
      <c r="L716" t="s">
        <v>38</v>
      </c>
      <c r="M716" t="s">
        <v>46</v>
      </c>
      <c r="N716">
        <f>Table2[[#This Row],[Total Paid]]+Table2[[#This Row],[Due]]</f>
        <v>90</v>
      </c>
      <c r="O716">
        <v>0</v>
      </c>
      <c r="P716">
        <v>150</v>
      </c>
      <c r="Q716">
        <v>0</v>
      </c>
      <c r="R716">
        <v>0</v>
      </c>
      <c r="S716">
        <v>60</v>
      </c>
      <c r="T716">
        <v>90</v>
      </c>
      <c r="U716">
        <v>0</v>
      </c>
      <c r="V716">
        <v>90</v>
      </c>
      <c r="W716" t="s">
        <v>30</v>
      </c>
      <c r="X716" s="6" t="s">
        <v>1086</v>
      </c>
    </row>
    <row r="717" spans="1:24" hidden="1" x14ac:dyDescent="0.25">
      <c r="A717" t="s">
        <v>1124</v>
      </c>
      <c r="B717" t="s">
        <v>207</v>
      </c>
      <c r="C717" t="s">
        <v>34</v>
      </c>
      <c r="D717">
        <v>55</v>
      </c>
      <c r="E717" t="s">
        <v>1123</v>
      </c>
      <c r="F717" t="s">
        <v>35</v>
      </c>
      <c r="G717" t="s">
        <v>26</v>
      </c>
      <c r="H717" t="str">
        <f>INDEX(Table1[Diagnosis],MATCH(I717,'codeand diagnosis'!$A$2:$A$11,0))</f>
        <v>Pulpitis</v>
      </c>
      <c r="I717" t="s">
        <v>111</v>
      </c>
      <c r="J717" t="str">
        <f>INDEX(Table1[ICD-10 Code],MATCH(Table2[[#This Row],[Treatment]],Table1[Treatment Type],0))</f>
        <v>K04.0</v>
      </c>
      <c r="K717" t="s">
        <v>38</v>
      </c>
      <c r="L717" t="s">
        <v>28</v>
      </c>
      <c r="M717" t="s">
        <v>29</v>
      </c>
      <c r="N717">
        <f>Table2[[#This Row],[Total Paid]]+Table2[[#This Row],[Due]]</f>
        <v>2633</v>
      </c>
      <c r="O717">
        <v>2833</v>
      </c>
      <c r="P717">
        <v>0</v>
      </c>
      <c r="Q717">
        <v>0</v>
      </c>
      <c r="R717">
        <v>0</v>
      </c>
      <c r="S717">
        <v>200</v>
      </c>
      <c r="T717">
        <v>2633</v>
      </c>
      <c r="U717">
        <v>0</v>
      </c>
      <c r="V717">
        <v>2633</v>
      </c>
      <c r="W717" t="s">
        <v>42</v>
      </c>
      <c r="X717" s="6" t="s">
        <v>1086</v>
      </c>
    </row>
    <row r="718" spans="1:24" hidden="1" x14ac:dyDescent="0.25">
      <c r="A718" t="s">
        <v>1125</v>
      </c>
      <c r="B718" t="s">
        <v>451</v>
      </c>
      <c r="C718" t="s">
        <v>24</v>
      </c>
      <c r="D718">
        <v>56</v>
      </c>
      <c r="E718" t="s">
        <v>1126</v>
      </c>
      <c r="F718" t="s">
        <v>50</v>
      </c>
      <c r="G718" t="s">
        <v>36</v>
      </c>
      <c r="H718" t="str">
        <f>INDEX(Table1[Diagnosis],MATCH(I718,'codeand diagnosis'!$A$2:$A$11,0))</f>
        <v>Dental examination with radiology</v>
      </c>
      <c r="I718" t="s">
        <v>37</v>
      </c>
      <c r="J718" t="str">
        <f>INDEX(Table1[ICD-10 Code],MATCH(Table2[[#This Row],[Treatment]],Table1[Treatment Type],0))</f>
        <v>Z01.2</v>
      </c>
      <c r="K718" t="s">
        <v>28</v>
      </c>
      <c r="L718" t="s">
        <v>38</v>
      </c>
      <c r="M718" t="s">
        <v>46</v>
      </c>
      <c r="N718">
        <f>Table2[[#This Row],[Total Paid]]+Table2[[#This Row],[Due]]</f>
        <v>210</v>
      </c>
      <c r="O718">
        <v>0</v>
      </c>
      <c r="P718">
        <v>150</v>
      </c>
      <c r="Q718">
        <v>200</v>
      </c>
      <c r="R718">
        <v>0</v>
      </c>
      <c r="S718">
        <v>140</v>
      </c>
      <c r="T718">
        <v>210</v>
      </c>
      <c r="U718">
        <v>0</v>
      </c>
      <c r="V718">
        <v>210</v>
      </c>
      <c r="W718" t="s">
        <v>51</v>
      </c>
      <c r="X718" s="6" t="s">
        <v>1086</v>
      </c>
    </row>
    <row r="719" spans="1:24" hidden="1" x14ac:dyDescent="0.25">
      <c r="A719" t="s">
        <v>1127</v>
      </c>
      <c r="B719" t="s">
        <v>201</v>
      </c>
      <c r="C719" t="s">
        <v>34</v>
      </c>
      <c r="D719">
        <v>58</v>
      </c>
      <c r="E719" s="1">
        <v>45330</v>
      </c>
      <c r="F719" t="s">
        <v>35</v>
      </c>
      <c r="G719" t="s">
        <v>26</v>
      </c>
      <c r="H719" t="str">
        <f>INDEX(Table1[Diagnosis],MATCH(I719,'codeand diagnosis'!$A$2:$A$11,0))</f>
        <v>Dental examination with radiology</v>
      </c>
      <c r="I719" t="s">
        <v>37</v>
      </c>
      <c r="J719" t="str">
        <f>INDEX(Table1[ICD-10 Code],MATCH(Table2[[#This Row],[Treatment]],Table1[Treatment Type],0))</f>
        <v>Z01.2</v>
      </c>
      <c r="K719" t="s">
        <v>28</v>
      </c>
      <c r="L719" t="s">
        <v>38</v>
      </c>
      <c r="M719" t="s">
        <v>29</v>
      </c>
      <c r="N719">
        <f>Table2[[#This Row],[Total Paid]]+Table2[[#This Row],[Due]]</f>
        <v>350</v>
      </c>
      <c r="O719">
        <v>0</v>
      </c>
      <c r="P719">
        <v>150</v>
      </c>
      <c r="Q719">
        <v>200</v>
      </c>
      <c r="R719">
        <v>0</v>
      </c>
      <c r="S719">
        <v>0</v>
      </c>
      <c r="T719">
        <v>350</v>
      </c>
      <c r="U719">
        <v>0</v>
      </c>
      <c r="V719">
        <v>350</v>
      </c>
      <c r="W719" t="s">
        <v>51</v>
      </c>
      <c r="X719" s="6" t="s">
        <v>1128</v>
      </c>
    </row>
    <row r="720" spans="1:24" hidden="1" x14ac:dyDescent="0.25">
      <c r="A720" t="s">
        <v>1129</v>
      </c>
      <c r="B720" t="s">
        <v>414</v>
      </c>
      <c r="C720" t="s">
        <v>24</v>
      </c>
      <c r="D720">
        <v>45</v>
      </c>
      <c r="E720" s="1">
        <v>45330</v>
      </c>
      <c r="F720" t="s">
        <v>88</v>
      </c>
      <c r="G720" t="s">
        <v>26</v>
      </c>
      <c r="H720" t="str">
        <f>INDEX(Table1[Diagnosis],MATCH(I720,'codeand diagnosis'!$A$2:$A$11,0))</f>
        <v>Missing teeth</v>
      </c>
      <c r="I720" t="s">
        <v>78</v>
      </c>
      <c r="J720" t="str">
        <f>INDEX(Table1[ICD-10 Code],MATCH(Table2[[#This Row],[Treatment]],Table1[Treatment Type],0))</f>
        <v>K08.1</v>
      </c>
      <c r="K720" t="s">
        <v>28</v>
      </c>
      <c r="L720" t="s">
        <v>28</v>
      </c>
      <c r="M720" t="s">
        <v>29</v>
      </c>
      <c r="N720">
        <f>Table2[[#This Row],[Total Paid]]+Table2[[#This Row],[Due]]</f>
        <v>29029</v>
      </c>
      <c r="O720">
        <v>29029</v>
      </c>
      <c r="P720">
        <v>0</v>
      </c>
      <c r="Q720">
        <v>0</v>
      </c>
      <c r="R720">
        <v>8770</v>
      </c>
      <c r="S720">
        <v>0</v>
      </c>
      <c r="T720">
        <v>29029</v>
      </c>
      <c r="U720">
        <v>0</v>
      </c>
      <c r="V720">
        <v>20259</v>
      </c>
      <c r="W720" t="s">
        <v>47</v>
      </c>
      <c r="X720" s="6" t="s">
        <v>1128</v>
      </c>
    </row>
    <row r="721" spans="1:24" hidden="1" x14ac:dyDescent="0.25">
      <c r="A721" t="s">
        <v>1130</v>
      </c>
      <c r="B721" t="s">
        <v>82</v>
      </c>
      <c r="C721" t="s">
        <v>24</v>
      </c>
      <c r="D721">
        <v>57</v>
      </c>
      <c r="E721" s="1">
        <v>45359</v>
      </c>
      <c r="F721" t="s">
        <v>50</v>
      </c>
      <c r="G721" t="s">
        <v>26</v>
      </c>
      <c r="H721" t="str">
        <f>INDEX(Table1[Diagnosis],MATCH(I721,'codeand diagnosis'!$A$2:$A$11,0))</f>
        <v>Malocclusion</v>
      </c>
      <c r="I721" t="s">
        <v>89</v>
      </c>
      <c r="J721" t="str">
        <f>INDEX(Table1[ICD-10 Code],MATCH(Table2[[#This Row],[Treatment]],Table1[Treatment Type],0))</f>
        <v>K07.4</v>
      </c>
      <c r="K721" t="s">
        <v>28</v>
      </c>
      <c r="L721" t="s">
        <v>28</v>
      </c>
      <c r="M721" t="s">
        <v>29</v>
      </c>
      <c r="N721">
        <f>Table2[[#This Row],[Total Paid]]+Table2[[#This Row],[Due]]</f>
        <v>17551</v>
      </c>
      <c r="O721">
        <v>17551</v>
      </c>
      <c r="P721">
        <v>0</v>
      </c>
      <c r="Q721">
        <v>0</v>
      </c>
      <c r="R721">
        <v>2660</v>
      </c>
      <c r="S721">
        <v>0</v>
      </c>
      <c r="T721">
        <v>12795</v>
      </c>
      <c r="U721">
        <v>4756</v>
      </c>
      <c r="V721">
        <v>10135</v>
      </c>
      <c r="W721" t="s">
        <v>51</v>
      </c>
      <c r="X721" s="6" t="s">
        <v>1128</v>
      </c>
    </row>
    <row r="722" spans="1:24" hidden="1" x14ac:dyDescent="0.25">
      <c r="A722" t="s">
        <v>1131</v>
      </c>
      <c r="B722" t="s">
        <v>53</v>
      </c>
      <c r="C722" t="s">
        <v>34</v>
      </c>
      <c r="D722">
        <v>41</v>
      </c>
      <c r="E722" s="1">
        <v>45359</v>
      </c>
      <c r="F722" t="s">
        <v>50</v>
      </c>
      <c r="G722" t="s">
        <v>26</v>
      </c>
      <c r="H722" t="str">
        <f>INDEX(Table1[Diagnosis],MATCH(I722,'codeand diagnosis'!$A$2:$A$11,0))</f>
        <v>Dental examination</v>
      </c>
      <c r="I722" t="s">
        <v>45</v>
      </c>
      <c r="J722" t="str">
        <f>INDEX(Table1[ICD-10 Code],MATCH(Table2[[#This Row],[Treatment]],Table1[Treatment Type],0))</f>
        <v>Z01.2</v>
      </c>
      <c r="K722" t="s">
        <v>28</v>
      </c>
      <c r="L722" t="s">
        <v>28</v>
      </c>
      <c r="M722" t="s">
        <v>29</v>
      </c>
      <c r="N722">
        <f>Table2[[#This Row],[Total Paid]]+Table2[[#This Row],[Due]]</f>
        <v>200</v>
      </c>
      <c r="O722">
        <v>0</v>
      </c>
      <c r="P722">
        <v>0</v>
      </c>
      <c r="Q722">
        <v>200</v>
      </c>
      <c r="R722">
        <v>0</v>
      </c>
      <c r="S722">
        <v>0</v>
      </c>
      <c r="T722">
        <v>200</v>
      </c>
      <c r="U722">
        <v>0</v>
      </c>
      <c r="V722">
        <v>200</v>
      </c>
      <c r="W722" t="s">
        <v>47</v>
      </c>
      <c r="X722" s="6" t="s">
        <v>1128</v>
      </c>
    </row>
    <row r="723" spans="1:24" hidden="1" x14ac:dyDescent="0.25">
      <c r="A723" t="s">
        <v>1132</v>
      </c>
      <c r="B723" t="s">
        <v>67</v>
      </c>
      <c r="C723" t="s">
        <v>24</v>
      </c>
      <c r="D723">
        <v>7</v>
      </c>
      <c r="E723" s="1">
        <v>45390</v>
      </c>
      <c r="F723" t="s">
        <v>50</v>
      </c>
      <c r="G723" t="s">
        <v>26</v>
      </c>
      <c r="H723" t="str">
        <f>INDEX(Table1[Diagnosis],MATCH(I723,'codeand diagnosis'!$A$2:$A$11,0))</f>
        <v>Dental examination with radiology</v>
      </c>
      <c r="I723" t="s">
        <v>37</v>
      </c>
      <c r="J723" t="str">
        <f>INDEX(Table1[ICD-10 Code],MATCH(Table2[[#This Row],[Treatment]],Table1[Treatment Type],0))</f>
        <v>Z01.2</v>
      </c>
      <c r="K723" t="s">
        <v>38</v>
      </c>
      <c r="L723" t="s">
        <v>38</v>
      </c>
      <c r="M723" t="s">
        <v>46</v>
      </c>
      <c r="N723">
        <f>Table2[[#This Row],[Total Paid]]+Table2[[#This Row],[Due]]</f>
        <v>90</v>
      </c>
      <c r="O723">
        <v>0</v>
      </c>
      <c r="P723">
        <v>150</v>
      </c>
      <c r="Q723">
        <v>0</v>
      </c>
      <c r="R723">
        <v>0</v>
      </c>
      <c r="S723">
        <v>60</v>
      </c>
      <c r="T723">
        <v>90</v>
      </c>
      <c r="U723">
        <v>0</v>
      </c>
      <c r="V723">
        <v>90</v>
      </c>
      <c r="W723" t="s">
        <v>42</v>
      </c>
      <c r="X723" s="6" t="s">
        <v>1128</v>
      </c>
    </row>
    <row r="724" spans="1:24" hidden="1" x14ac:dyDescent="0.25">
      <c r="A724" t="s">
        <v>1133</v>
      </c>
      <c r="B724" t="s">
        <v>531</v>
      </c>
      <c r="C724" t="s">
        <v>34</v>
      </c>
      <c r="D724">
        <v>72</v>
      </c>
      <c r="E724" s="1">
        <v>45420</v>
      </c>
      <c r="F724" t="s">
        <v>88</v>
      </c>
      <c r="G724" t="s">
        <v>26</v>
      </c>
      <c r="H724" t="str">
        <f>INDEX(Table1[Diagnosis],MATCH(I724,'codeand diagnosis'!$A$2:$A$11,0))</f>
        <v>Malocclusion</v>
      </c>
      <c r="I724" t="s">
        <v>89</v>
      </c>
      <c r="J724" t="str">
        <f>INDEX(Table1[ICD-10 Code],MATCH(Table2[[#This Row],[Treatment]],Table1[Treatment Type],0))</f>
        <v>K07.4</v>
      </c>
      <c r="K724" t="s">
        <v>28</v>
      </c>
      <c r="L724" t="s">
        <v>38</v>
      </c>
      <c r="M724" t="s">
        <v>46</v>
      </c>
      <c r="N724">
        <f>Table2[[#This Row],[Total Paid]]+Table2[[#This Row],[Due]]</f>
        <v>16334</v>
      </c>
      <c r="O724">
        <v>16334</v>
      </c>
      <c r="P724">
        <v>0</v>
      </c>
      <c r="Q724">
        <v>0</v>
      </c>
      <c r="R724">
        <v>2670</v>
      </c>
      <c r="S724">
        <v>0</v>
      </c>
      <c r="T724">
        <v>12645</v>
      </c>
      <c r="U724">
        <v>3689</v>
      </c>
      <c r="V724">
        <v>9975</v>
      </c>
      <c r="W724" t="s">
        <v>47</v>
      </c>
      <c r="X724" s="6" t="s">
        <v>1128</v>
      </c>
    </row>
    <row r="725" spans="1:24" hidden="1" x14ac:dyDescent="0.25">
      <c r="A725" t="s">
        <v>1134</v>
      </c>
      <c r="B725" t="s">
        <v>84</v>
      </c>
      <c r="C725" t="s">
        <v>34</v>
      </c>
      <c r="D725">
        <v>49</v>
      </c>
      <c r="E725" s="1">
        <v>45420</v>
      </c>
      <c r="F725" t="s">
        <v>50</v>
      </c>
      <c r="G725" t="s">
        <v>26</v>
      </c>
      <c r="H725" t="str">
        <f>INDEX(Table1[Diagnosis],MATCH(I725,'codeand diagnosis'!$A$2:$A$11,0))</f>
        <v>Dental examination</v>
      </c>
      <c r="I725" t="s">
        <v>45</v>
      </c>
      <c r="J725" t="str">
        <f>INDEX(Table1[ICD-10 Code],MATCH(Table2[[#This Row],[Treatment]],Table1[Treatment Type],0))</f>
        <v>Z01.2</v>
      </c>
      <c r="K725" t="s">
        <v>28</v>
      </c>
      <c r="L725" t="s">
        <v>28</v>
      </c>
      <c r="M725" t="s">
        <v>29</v>
      </c>
      <c r="N725">
        <f>Table2[[#This Row],[Total Paid]]+Table2[[#This Row],[Due]]</f>
        <v>120</v>
      </c>
      <c r="O725">
        <v>0</v>
      </c>
      <c r="P725">
        <v>0</v>
      </c>
      <c r="Q725">
        <v>200</v>
      </c>
      <c r="R725">
        <v>0</v>
      </c>
      <c r="S725">
        <v>80</v>
      </c>
      <c r="T725">
        <v>120</v>
      </c>
      <c r="U725">
        <v>0</v>
      </c>
      <c r="V725">
        <v>120</v>
      </c>
      <c r="W725" t="s">
        <v>51</v>
      </c>
      <c r="X725" s="6" t="s">
        <v>1128</v>
      </c>
    </row>
    <row r="726" spans="1:24" hidden="1" x14ac:dyDescent="0.25">
      <c r="A726" t="s">
        <v>1135</v>
      </c>
      <c r="B726" t="s">
        <v>194</v>
      </c>
      <c r="C726" t="s">
        <v>34</v>
      </c>
      <c r="D726">
        <v>27</v>
      </c>
      <c r="E726" s="1">
        <v>45451</v>
      </c>
      <c r="F726" t="s">
        <v>88</v>
      </c>
      <c r="G726" t="s">
        <v>36</v>
      </c>
      <c r="H726" t="str">
        <f>INDEX(Table1[Diagnosis],MATCH(I726,'codeand diagnosis'!$A$2:$A$11,0))</f>
        <v>Dental examination</v>
      </c>
      <c r="I726" t="s">
        <v>45</v>
      </c>
      <c r="J726" t="str">
        <f>INDEX(Table1[ICD-10 Code],MATCH(Table2[[#This Row],[Treatment]],Table1[Treatment Type],0))</f>
        <v>Z01.2</v>
      </c>
      <c r="K726" t="s">
        <v>28</v>
      </c>
      <c r="L726" t="s">
        <v>28</v>
      </c>
      <c r="M726" t="s">
        <v>29</v>
      </c>
      <c r="N726">
        <f>Table2[[#This Row],[Total Paid]]+Table2[[#This Row],[Due]]</f>
        <v>200</v>
      </c>
      <c r="O726">
        <v>0</v>
      </c>
      <c r="P726">
        <v>0</v>
      </c>
      <c r="Q726">
        <v>200</v>
      </c>
      <c r="R726">
        <v>0</v>
      </c>
      <c r="S726">
        <v>0</v>
      </c>
      <c r="T726">
        <v>200</v>
      </c>
      <c r="U726">
        <v>0</v>
      </c>
      <c r="V726">
        <v>200</v>
      </c>
      <c r="W726" t="s">
        <v>42</v>
      </c>
      <c r="X726" s="6" t="s">
        <v>1128</v>
      </c>
    </row>
    <row r="727" spans="1:24" hidden="1" x14ac:dyDescent="0.25">
      <c r="A727" t="s">
        <v>1136</v>
      </c>
      <c r="B727" t="s">
        <v>420</v>
      </c>
      <c r="C727" t="s">
        <v>34</v>
      </c>
      <c r="D727">
        <v>6</v>
      </c>
      <c r="E727" s="1">
        <v>45451</v>
      </c>
      <c r="F727" t="s">
        <v>88</v>
      </c>
      <c r="G727" t="s">
        <v>36</v>
      </c>
      <c r="H727" t="str">
        <f>INDEX(Table1[Diagnosis],MATCH(I727,'codeand diagnosis'!$A$2:$A$11,0))</f>
        <v>Dental examination with radiology</v>
      </c>
      <c r="I727" t="s">
        <v>37</v>
      </c>
      <c r="J727" t="str">
        <f>INDEX(Table1[ICD-10 Code],MATCH(Table2[[#This Row],[Treatment]],Table1[Treatment Type],0))</f>
        <v>Z01.2</v>
      </c>
      <c r="K727" t="s">
        <v>38</v>
      </c>
      <c r="L727" t="s">
        <v>38</v>
      </c>
      <c r="M727" t="s">
        <v>29</v>
      </c>
      <c r="N727">
        <f>Table2[[#This Row],[Total Paid]]+Table2[[#This Row],[Due]]</f>
        <v>150</v>
      </c>
      <c r="O727">
        <v>0</v>
      </c>
      <c r="P727">
        <v>150</v>
      </c>
      <c r="Q727">
        <v>0</v>
      </c>
      <c r="R727">
        <v>0</v>
      </c>
      <c r="S727">
        <v>0</v>
      </c>
      <c r="T727">
        <v>150</v>
      </c>
      <c r="U727">
        <v>0</v>
      </c>
      <c r="V727">
        <v>150</v>
      </c>
      <c r="W727" t="s">
        <v>42</v>
      </c>
      <c r="X727" s="6" t="s">
        <v>1128</v>
      </c>
    </row>
    <row r="728" spans="1:24" hidden="1" x14ac:dyDescent="0.25">
      <c r="A728" t="s">
        <v>1137</v>
      </c>
      <c r="B728" t="s">
        <v>271</v>
      </c>
      <c r="C728" t="s">
        <v>24</v>
      </c>
      <c r="D728">
        <v>51</v>
      </c>
      <c r="E728" s="1">
        <v>45481</v>
      </c>
      <c r="F728" t="s">
        <v>266</v>
      </c>
      <c r="G728" t="s">
        <v>26</v>
      </c>
      <c r="H728" t="str">
        <f>INDEX(Table1[Diagnosis],MATCH(I728,'codeand diagnosis'!$A$2:$A$11,0))</f>
        <v>Dental examination with radiology</v>
      </c>
      <c r="I728" t="s">
        <v>37</v>
      </c>
      <c r="J728" t="str">
        <f>INDEX(Table1[ICD-10 Code],MATCH(Table2[[#This Row],[Treatment]],Table1[Treatment Type],0))</f>
        <v>Z01.2</v>
      </c>
      <c r="K728" t="s">
        <v>28</v>
      </c>
      <c r="L728" t="s">
        <v>38</v>
      </c>
      <c r="M728" t="s">
        <v>29</v>
      </c>
      <c r="N728">
        <f>Table2[[#This Row],[Total Paid]]+Table2[[#This Row],[Due]]</f>
        <v>350</v>
      </c>
      <c r="O728">
        <v>0</v>
      </c>
      <c r="P728">
        <v>150</v>
      </c>
      <c r="Q728">
        <v>200</v>
      </c>
      <c r="R728">
        <v>0</v>
      </c>
      <c r="S728">
        <v>0</v>
      </c>
      <c r="T728">
        <v>350</v>
      </c>
      <c r="U728">
        <v>0</v>
      </c>
      <c r="V728">
        <v>350</v>
      </c>
      <c r="W728" t="s">
        <v>47</v>
      </c>
      <c r="X728" s="6" t="s">
        <v>1128</v>
      </c>
    </row>
    <row r="729" spans="1:24" hidden="1" x14ac:dyDescent="0.25">
      <c r="A729" t="s">
        <v>1138</v>
      </c>
      <c r="B729" t="s">
        <v>59</v>
      </c>
      <c r="C729" t="s">
        <v>34</v>
      </c>
      <c r="D729">
        <v>28</v>
      </c>
      <c r="E729" s="1">
        <v>45481</v>
      </c>
      <c r="F729" t="s">
        <v>50</v>
      </c>
      <c r="G729" t="s">
        <v>26</v>
      </c>
      <c r="H729" t="str">
        <f>INDEX(Table1[Diagnosis],MATCH(I729,'codeand diagnosis'!$A$2:$A$11,0))</f>
        <v>Dental examination</v>
      </c>
      <c r="I729" t="s">
        <v>45</v>
      </c>
      <c r="J729" t="str">
        <f>INDEX(Table1[ICD-10 Code],MATCH(Table2[[#This Row],[Treatment]],Table1[Treatment Type],0))</f>
        <v>Z01.2</v>
      </c>
      <c r="K729" t="s">
        <v>28</v>
      </c>
      <c r="L729" t="s">
        <v>28</v>
      </c>
      <c r="M729" t="s">
        <v>29</v>
      </c>
      <c r="N729">
        <f>Table2[[#This Row],[Total Paid]]+Table2[[#This Row],[Due]]</f>
        <v>200</v>
      </c>
      <c r="O729">
        <v>0</v>
      </c>
      <c r="P729">
        <v>0</v>
      </c>
      <c r="Q729">
        <v>200</v>
      </c>
      <c r="R729">
        <v>0</v>
      </c>
      <c r="S729">
        <v>0</v>
      </c>
      <c r="T729">
        <v>200</v>
      </c>
      <c r="U729">
        <v>0</v>
      </c>
      <c r="V729">
        <v>200</v>
      </c>
      <c r="W729" t="s">
        <v>51</v>
      </c>
      <c r="X729" s="6" t="s">
        <v>1128</v>
      </c>
    </row>
    <row r="730" spans="1:24" hidden="1" x14ac:dyDescent="0.25">
      <c r="A730" t="s">
        <v>1139</v>
      </c>
      <c r="B730" t="s">
        <v>197</v>
      </c>
      <c r="C730" t="s">
        <v>24</v>
      </c>
      <c r="D730">
        <v>58</v>
      </c>
      <c r="E730" s="1">
        <v>45512</v>
      </c>
      <c r="F730" t="s">
        <v>35</v>
      </c>
      <c r="G730" t="s">
        <v>26</v>
      </c>
      <c r="H730" t="str">
        <f>INDEX(Table1[Diagnosis],MATCH(I730,'codeand diagnosis'!$A$2:$A$11,0))</f>
        <v>Dental examination</v>
      </c>
      <c r="I730" t="s">
        <v>45</v>
      </c>
      <c r="J730" t="str">
        <f>INDEX(Table1[ICD-10 Code],MATCH(Table2[[#This Row],[Treatment]],Table1[Treatment Type],0))</f>
        <v>Z01.2</v>
      </c>
      <c r="K730" t="s">
        <v>28</v>
      </c>
      <c r="L730" t="s">
        <v>28</v>
      </c>
      <c r="M730" t="s">
        <v>29</v>
      </c>
      <c r="N730">
        <f>Table2[[#This Row],[Total Paid]]+Table2[[#This Row],[Due]]</f>
        <v>200</v>
      </c>
      <c r="O730">
        <v>0</v>
      </c>
      <c r="P730">
        <v>0</v>
      </c>
      <c r="Q730">
        <v>200</v>
      </c>
      <c r="R730">
        <v>0</v>
      </c>
      <c r="S730">
        <v>0</v>
      </c>
      <c r="T730">
        <v>200</v>
      </c>
      <c r="U730">
        <v>0</v>
      </c>
      <c r="V730">
        <v>200</v>
      </c>
      <c r="W730" t="s">
        <v>51</v>
      </c>
      <c r="X730" s="6" t="s">
        <v>1128</v>
      </c>
    </row>
    <row r="731" spans="1:24" hidden="1" x14ac:dyDescent="0.25">
      <c r="A731" t="s">
        <v>1140</v>
      </c>
      <c r="B731" t="s">
        <v>398</v>
      </c>
      <c r="C731" t="s">
        <v>34</v>
      </c>
      <c r="D731">
        <v>75</v>
      </c>
      <c r="E731" s="1">
        <v>45512</v>
      </c>
      <c r="F731" t="s">
        <v>104</v>
      </c>
      <c r="G731" t="s">
        <v>26</v>
      </c>
      <c r="H731" t="str">
        <f>INDEX(Table1[Diagnosis],MATCH(I731,'codeand diagnosis'!$A$2:$A$11,0))</f>
        <v>Dental examination</v>
      </c>
      <c r="I731" t="s">
        <v>45</v>
      </c>
      <c r="J731" t="str">
        <f>INDEX(Table1[ICD-10 Code],MATCH(Table2[[#This Row],[Treatment]],Table1[Treatment Type],0))</f>
        <v>Z01.2</v>
      </c>
      <c r="K731" t="s">
        <v>28</v>
      </c>
      <c r="L731" t="s">
        <v>28</v>
      </c>
      <c r="M731" t="s">
        <v>29</v>
      </c>
      <c r="N731">
        <f>Table2[[#This Row],[Total Paid]]+Table2[[#This Row],[Due]]</f>
        <v>200</v>
      </c>
      <c r="O731">
        <v>0</v>
      </c>
      <c r="P731">
        <v>0</v>
      </c>
      <c r="Q731">
        <v>200</v>
      </c>
      <c r="R731">
        <v>0</v>
      </c>
      <c r="S731">
        <v>0</v>
      </c>
      <c r="T731">
        <v>200</v>
      </c>
      <c r="U731">
        <v>0</v>
      </c>
      <c r="V731">
        <v>200</v>
      </c>
      <c r="W731" t="s">
        <v>51</v>
      </c>
      <c r="X731" s="6" t="s">
        <v>1128</v>
      </c>
    </row>
    <row r="732" spans="1:24" hidden="1" x14ac:dyDescent="0.25">
      <c r="A732" t="s">
        <v>1141</v>
      </c>
      <c r="B732" t="s">
        <v>94</v>
      </c>
      <c r="C732" t="s">
        <v>24</v>
      </c>
      <c r="D732">
        <v>35</v>
      </c>
      <c r="E732" s="1">
        <v>45512</v>
      </c>
      <c r="F732" t="s">
        <v>88</v>
      </c>
      <c r="G732" t="s">
        <v>26</v>
      </c>
      <c r="H732" t="str">
        <f>INDEX(Table1[Diagnosis],MATCH(I732,'codeand diagnosis'!$A$2:$A$11,0))</f>
        <v>Dental examination</v>
      </c>
      <c r="I732" t="s">
        <v>45</v>
      </c>
      <c r="J732" t="str">
        <f>INDEX(Table1[ICD-10 Code],MATCH(Table2[[#This Row],[Treatment]],Table1[Treatment Type],0))</f>
        <v>Z01.2</v>
      </c>
      <c r="K732" t="s">
        <v>28</v>
      </c>
      <c r="L732" t="s">
        <v>28</v>
      </c>
      <c r="M732" t="s">
        <v>29</v>
      </c>
      <c r="N732">
        <f>Table2[[#This Row],[Total Paid]]+Table2[[#This Row],[Due]]</f>
        <v>120</v>
      </c>
      <c r="O732">
        <v>0</v>
      </c>
      <c r="P732">
        <v>0</v>
      </c>
      <c r="Q732">
        <v>200</v>
      </c>
      <c r="R732">
        <v>0</v>
      </c>
      <c r="S732">
        <v>80</v>
      </c>
      <c r="T732">
        <v>120</v>
      </c>
      <c r="U732">
        <v>0</v>
      </c>
      <c r="V732">
        <v>120</v>
      </c>
      <c r="W732" t="s">
        <v>42</v>
      </c>
      <c r="X732" s="6" t="s">
        <v>1128</v>
      </c>
    </row>
    <row r="733" spans="1:24" hidden="1" x14ac:dyDescent="0.25">
      <c r="A733" t="s">
        <v>1142</v>
      </c>
      <c r="B733" t="s">
        <v>100</v>
      </c>
      <c r="C733" t="s">
        <v>34</v>
      </c>
      <c r="D733">
        <v>51</v>
      </c>
      <c r="E733" s="1">
        <v>45634</v>
      </c>
      <c r="F733" t="s">
        <v>50</v>
      </c>
      <c r="G733" t="s">
        <v>26</v>
      </c>
      <c r="H733" t="str">
        <f>INDEX(Table1[Diagnosis],MATCH(I733,'codeand diagnosis'!$A$2:$A$11,0))</f>
        <v>Dental examination with radiology</v>
      </c>
      <c r="I733" t="s">
        <v>37</v>
      </c>
      <c r="J733" t="str">
        <f>INDEX(Table1[ICD-10 Code],MATCH(Table2[[#This Row],[Treatment]],Table1[Treatment Type],0))</f>
        <v>Z01.2</v>
      </c>
      <c r="K733" t="s">
        <v>28</v>
      </c>
      <c r="L733" t="s">
        <v>38</v>
      </c>
      <c r="M733" t="s">
        <v>29</v>
      </c>
      <c r="N733">
        <f>Table2[[#This Row],[Total Paid]]+Table2[[#This Row],[Due]]</f>
        <v>350</v>
      </c>
      <c r="O733">
        <v>0</v>
      </c>
      <c r="P733">
        <v>150</v>
      </c>
      <c r="Q733">
        <v>200</v>
      </c>
      <c r="R733">
        <v>0</v>
      </c>
      <c r="S733">
        <v>0</v>
      </c>
      <c r="T733">
        <v>350</v>
      </c>
      <c r="U733">
        <v>0</v>
      </c>
      <c r="V733">
        <v>350</v>
      </c>
      <c r="W733" t="s">
        <v>47</v>
      </c>
      <c r="X733" s="6" t="s">
        <v>1128</v>
      </c>
    </row>
    <row r="734" spans="1:24" hidden="1" x14ac:dyDescent="0.25">
      <c r="A734" t="s">
        <v>1143</v>
      </c>
      <c r="B734" t="s">
        <v>109</v>
      </c>
      <c r="C734" t="s">
        <v>34</v>
      </c>
      <c r="D734">
        <v>50</v>
      </c>
      <c r="E734" s="1">
        <v>45634</v>
      </c>
      <c r="F734" t="s">
        <v>88</v>
      </c>
      <c r="G734" t="s">
        <v>26</v>
      </c>
      <c r="H734" t="str">
        <f>INDEX(Table1[Diagnosis],MATCH(I734,'codeand diagnosis'!$A$2:$A$11,0))</f>
        <v>Dental examination with radiology</v>
      </c>
      <c r="I734" t="s">
        <v>37</v>
      </c>
      <c r="J734" t="str">
        <f>INDEX(Table1[ICD-10 Code],MATCH(Table2[[#This Row],[Treatment]],Table1[Treatment Type],0))</f>
        <v>Z01.2</v>
      </c>
      <c r="K734" t="s">
        <v>38</v>
      </c>
      <c r="L734" t="s">
        <v>38</v>
      </c>
      <c r="M734" t="s">
        <v>46</v>
      </c>
      <c r="N734">
        <f>Table2[[#This Row],[Total Paid]]+Table2[[#This Row],[Due]]</f>
        <v>90</v>
      </c>
      <c r="O734">
        <v>0</v>
      </c>
      <c r="P734">
        <v>150</v>
      </c>
      <c r="Q734">
        <v>0</v>
      </c>
      <c r="R734">
        <v>0</v>
      </c>
      <c r="S734">
        <v>60</v>
      </c>
      <c r="T734">
        <v>90</v>
      </c>
      <c r="U734">
        <v>0</v>
      </c>
      <c r="V734">
        <v>90</v>
      </c>
      <c r="W734" t="s">
        <v>30</v>
      </c>
      <c r="X734" s="6" t="s">
        <v>1128</v>
      </c>
    </row>
    <row r="735" spans="1:24" hidden="1" x14ac:dyDescent="0.25">
      <c r="A735" t="s">
        <v>1144</v>
      </c>
      <c r="B735" t="s">
        <v>137</v>
      </c>
      <c r="C735" t="s">
        <v>24</v>
      </c>
      <c r="D735">
        <v>37</v>
      </c>
      <c r="E735" t="s">
        <v>1145</v>
      </c>
      <c r="F735" t="s">
        <v>35</v>
      </c>
      <c r="G735" t="s">
        <v>36</v>
      </c>
      <c r="H735" t="str">
        <f>INDEX(Table1[Diagnosis],MATCH(I735,'codeand diagnosis'!$A$2:$A$11,0))</f>
        <v>Dental examination</v>
      </c>
      <c r="I735" t="s">
        <v>45</v>
      </c>
      <c r="J735" t="str">
        <f>INDEX(Table1[ICD-10 Code],MATCH(Table2[[#This Row],[Treatment]],Table1[Treatment Type],0))</f>
        <v>Z01.2</v>
      </c>
      <c r="K735" t="s">
        <v>28</v>
      </c>
      <c r="L735" t="s">
        <v>28</v>
      </c>
      <c r="M735" t="s">
        <v>29</v>
      </c>
      <c r="N735">
        <f>Table2[[#This Row],[Total Paid]]+Table2[[#This Row],[Due]]</f>
        <v>200</v>
      </c>
      <c r="O735">
        <v>0</v>
      </c>
      <c r="P735">
        <v>0</v>
      </c>
      <c r="Q735">
        <v>200</v>
      </c>
      <c r="R735">
        <v>0</v>
      </c>
      <c r="S735">
        <v>0</v>
      </c>
      <c r="T735">
        <v>200</v>
      </c>
      <c r="U735">
        <v>0</v>
      </c>
      <c r="V735">
        <v>200</v>
      </c>
      <c r="W735" t="s">
        <v>30</v>
      </c>
      <c r="X735" s="6" t="s">
        <v>1128</v>
      </c>
    </row>
    <row r="736" spans="1:24" hidden="1" x14ac:dyDescent="0.25">
      <c r="A736" t="s">
        <v>1146</v>
      </c>
      <c r="B736" t="s">
        <v>197</v>
      </c>
      <c r="C736" t="s">
        <v>24</v>
      </c>
      <c r="D736">
        <v>67</v>
      </c>
      <c r="E736" t="s">
        <v>1147</v>
      </c>
      <c r="F736" t="s">
        <v>88</v>
      </c>
      <c r="G736" t="s">
        <v>26</v>
      </c>
      <c r="H736" t="str">
        <f>INDEX(Table1[Diagnosis],MATCH(I736,'codeand diagnosis'!$A$2:$A$11,0))</f>
        <v>Dental examination</v>
      </c>
      <c r="I736" t="s">
        <v>45</v>
      </c>
      <c r="J736" t="str">
        <f>INDEX(Table1[ICD-10 Code],MATCH(Table2[[#This Row],[Treatment]],Table1[Treatment Type],0))</f>
        <v>Z01.2</v>
      </c>
      <c r="K736" t="s">
        <v>28</v>
      </c>
      <c r="L736" t="s">
        <v>28</v>
      </c>
      <c r="M736" t="s">
        <v>29</v>
      </c>
      <c r="N736">
        <f>Table2[[#This Row],[Total Paid]]+Table2[[#This Row],[Due]]</f>
        <v>120</v>
      </c>
      <c r="O736">
        <v>0</v>
      </c>
      <c r="P736">
        <v>0</v>
      </c>
      <c r="Q736">
        <v>200</v>
      </c>
      <c r="R736">
        <v>0</v>
      </c>
      <c r="S736">
        <v>80</v>
      </c>
      <c r="T736">
        <v>120</v>
      </c>
      <c r="U736">
        <v>0</v>
      </c>
      <c r="V736">
        <v>120</v>
      </c>
      <c r="W736" t="s">
        <v>30</v>
      </c>
      <c r="X736" s="6" t="s">
        <v>1128</v>
      </c>
    </row>
    <row r="737" spans="1:24" hidden="1" x14ac:dyDescent="0.25">
      <c r="A737" t="s">
        <v>1148</v>
      </c>
      <c r="B737" t="s">
        <v>159</v>
      </c>
      <c r="C737" t="s">
        <v>24</v>
      </c>
      <c r="D737">
        <v>47</v>
      </c>
      <c r="E737" t="s">
        <v>1147</v>
      </c>
      <c r="F737" t="s">
        <v>104</v>
      </c>
      <c r="G737" t="s">
        <v>36</v>
      </c>
      <c r="H737" t="str">
        <f>INDEX(Table1[Diagnosis],MATCH(I737,'codeand diagnosis'!$A$2:$A$11,0))</f>
        <v>Dental examination</v>
      </c>
      <c r="I737" t="s">
        <v>45</v>
      </c>
      <c r="J737" t="str">
        <f>INDEX(Table1[ICD-10 Code],MATCH(Table2[[#This Row],[Treatment]],Table1[Treatment Type],0))</f>
        <v>Z01.2</v>
      </c>
      <c r="K737" t="s">
        <v>28</v>
      </c>
      <c r="L737" t="s">
        <v>28</v>
      </c>
      <c r="M737" t="s">
        <v>29</v>
      </c>
      <c r="N737">
        <f>Table2[[#This Row],[Total Paid]]+Table2[[#This Row],[Due]]</f>
        <v>200</v>
      </c>
      <c r="O737">
        <v>0</v>
      </c>
      <c r="P737">
        <v>0</v>
      </c>
      <c r="Q737">
        <v>200</v>
      </c>
      <c r="R737">
        <v>0</v>
      </c>
      <c r="S737">
        <v>0</v>
      </c>
      <c r="T737">
        <v>200</v>
      </c>
      <c r="U737">
        <v>0</v>
      </c>
      <c r="V737">
        <v>200</v>
      </c>
      <c r="W737" t="s">
        <v>42</v>
      </c>
      <c r="X737" s="6" t="s">
        <v>1128</v>
      </c>
    </row>
    <row r="738" spans="1:24" hidden="1" x14ac:dyDescent="0.25">
      <c r="A738" t="s">
        <v>1149</v>
      </c>
      <c r="B738" t="s">
        <v>611</v>
      </c>
      <c r="C738" t="s">
        <v>34</v>
      </c>
      <c r="D738">
        <v>7</v>
      </c>
      <c r="E738" t="s">
        <v>1150</v>
      </c>
      <c r="F738" t="s">
        <v>50</v>
      </c>
      <c r="G738" t="s">
        <v>36</v>
      </c>
      <c r="H738" t="str">
        <f>INDEX(Table1[Diagnosis],MATCH(I738,'codeand diagnosis'!$A$2:$A$11,0))</f>
        <v>Gingivitis</v>
      </c>
      <c r="I738" t="s">
        <v>27</v>
      </c>
      <c r="J738" t="str">
        <f>INDEX(Table1[ICD-10 Code],MATCH(Table2[[#This Row],[Treatment]],Table1[Treatment Type],0))</f>
        <v>K05.10</v>
      </c>
      <c r="K738" t="s">
        <v>28</v>
      </c>
      <c r="L738" t="s">
        <v>28</v>
      </c>
      <c r="M738" t="s">
        <v>29</v>
      </c>
      <c r="N738">
        <f>Table2[[#This Row],[Total Paid]]+Table2[[#This Row],[Due]]</f>
        <v>593</v>
      </c>
      <c r="O738">
        <v>593</v>
      </c>
      <c r="P738">
        <v>0</v>
      </c>
      <c r="Q738">
        <v>0</v>
      </c>
      <c r="R738">
        <v>0</v>
      </c>
      <c r="S738">
        <v>0</v>
      </c>
      <c r="T738">
        <v>593</v>
      </c>
      <c r="U738">
        <v>0</v>
      </c>
      <c r="V738">
        <v>593</v>
      </c>
      <c r="W738" t="s">
        <v>42</v>
      </c>
      <c r="X738" s="6" t="s">
        <v>1128</v>
      </c>
    </row>
    <row r="739" spans="1:24" hidden="1" x14ac:dyDescent="0.25">
      <c r="A739" t="s">
        <v>1151</v>
      </c>
      <c r="B739" t="s">
        <v>103</v>
      </c>
      <c r="C739" t="s">
        <v>34</v>
      </c>
      <c r="D739">
        <v>73</v>
      </c>
      <c r="E739" t="s">
        <v>1152</v>
      </c>
      <c r="F739" t="s">
        <v>50</v>
      </c>
      <c r="G739" t="s">
        <v>26</v>
      </c>
      <c r="H739" t="str">
        <f>INDEX(Table1[Diagnosis],MATCH(I739,'codeand diagnosis'!$A$2:$A$11,0))</f>
        <v>Dental examination</v>
      </c>
      <c r="I739" t="s">
        <v>45</v>
      </c>
      <c r="J739" t="str">
        <f>INDEX(Table1[ICD-10 Code],MATCH(Table2[[#This Row],[Treatment]],Table1[Treatment Type],0))</f>
        <v>Z01.2</v>
      </c>
      <c r="K739" t="s">
        <v>28</v>
      </c>
      <c r="L739" t="s">
        <v>28</v>
      </c>
      <c r="M739" t="s">
        <v>29</v>
      </c>
      <c r="N739">
        <f>Table2[[#This Row],[Total Paid]]+Table2[[#This Row],[Due]]</f>
        <v>200</v>
      </c>
      <c r="O739">
        <v>0</v>
      </c>
      <c r="P739">
        <v>0</v>
      </c>
      <c r="Q739">
        <v>200</v>
      </c>
      <c r="R739">
        <v>0</v>
      </c>
      <c r="S739">
        <v>0</v>
      </c>
      <c r="T739">
        <v>200</v>
      </c>
      <c r="U739">
        <v>0</v>
      </c>
      <c r="V739">
        <v>200</v>
      </c>
      <c r="W739" t="s">
        <v>47</v>
      </c>
      <c r="X739" s="6" t="s">
        <v>1128</v>
      </c>
    </row>
    <row r="740" spans="1:24" hidden="1" x14ac:dyDescent="0.25">
      <c r="A740" t="s">
        <v>1153</v>
      </c>
      <c r="B740" t="s">
        <v>232</v>
      </c>
      <c r="C740" t="s">
        <v>24</v>
      </c>
      <c r="D740">
        <v>56</v>
      </c>
      <c r="E740" t="s">
        <v>1154</v>
      </c>
      <c r="F740" t="s">
        <v>35</v>
      </c>
      <c r="G740" t="s">
        <v>36</v>
      </c>
      <c r="H740" t="str">
        <f>INDEX(Table1[Diagnosis],MATCH(I740,'codeand diagnosis'!$A$2:$A$11,0))</f>
        <v>Loss of teeth</v>
      </c>
      <c r="I740" t="s">
        <v>68</v>
      </c>
      <c r="J740" t="str">
        <f>INDEX(Table1[ICD-10 Code],MATCH(Table2[[#This Row],[Treatment]],Table1[Treatment Type],0))</f>
        <v>K08.1</v>
      </c>
      <c r="K740" t="s">
        <v>28</v>
      </c>
      <c r="L740" t="s">
        <v>28</v>
      </c>
      <c r="M740" t="s">
        <v>29</v>
      </c>
      <c r="N740">
        <f>Table2[[#This Row],[Total Paid]]+Table2[[#This Row],[Due]]</f>
        <v>808</v>
      </c>
      <c r="O740">
        <v>808</v>
      </c>
      <c r="P740">
        <v>0</v>
      </c>
      <c r="Q740">
        <v>0</v>
      </c>
      <c r="R740">
        <v>0</v>
      </c>
      <c r="S740">
        <v>0</v>
      </c>
      <c r="T740">
        <v>808</v>
      </c>
      <c r="U740">
        <v>0</v>
      </c>
      <c r="V740">
        <v>808</v>
      </c>
      <c r="W740" t="s">
        <v>30</v>
      </c>
      <c r="X740" s="6" t="s">
        <v>1128</v>
      </c>
    </row>
    <row r="741" spans="1:24" hidden="1" x14ac:dyDescent="0.25">
      <c r="A741" t="s">
        <v>1155</v>
      </c>
      <c r="B741" t="s">
        <v>290</v>
      </c>
      <c r="C741" t="s">
        <v>34</v>
      </c>
      <c r="D741">
        <v>62</v>
      </c>
      <c r="E741" t="s">
        <v>1154</v>
      </c>
      <c r="F741" t="s">
        <v>88</v>
      </c>
      <c r="G741" t="s">
        <v>26</v>
      </c>
      <c r="H741" t="str">
        <f>INDEX(Table1[Diagnosis],MATCH(I741,'codeand diagnosis'!$A$2:$A$11,0))</f>
        <v>Dental examination with radiology</v>
      </c>
      <c r="I741" t="s">
        <v>37</v>
      </c>
      <c r="J741" t="str">
        <f>INDEX(Table1[ICD-10 Code],MATCH(Table2[[#This Row],[Treatment]],Table1[Treatment Type],0))</f>
        <v>Z01.2</v>
      </c>
      <c r="K741" t="s">
        <v>38</v>
      </c>
      <c r="L741" t="s">
        <v>38</v>
      </c>
      <c r="M741" t="s">
        <v>29</v>
      </c>
      <c r="N741">
        <f>Table2[[#This Row],[Total Paid]]+Table2[[#This Row],[Due]]</f>
        <v>100</v>
      </c>
      <c r="O741">
        <v>0</v>
      </c>
      <c r="P741">
        <v>150</v>
      </c>
      <c r="Q741">
        <v>0</v>
      </c>
      <c r="R741">
        <v>0</v>
      </c>
      <c r="S741">
        <v>50</v>
      </c>
      <c r="T741">
        <v>100</v>
      </c>
      <c r="U741">
        <v>0</v>
      </c>
      <c r="V741">
        <v>100</v>
      </c>
      <c r="W741" t="s">
        <v>42</v>
      </c>
      <c r="X741" s="6" t="s">
        <v>1128</v>
      </c>
    </row>
    <row r="742" spans="1:24" hidden="1" x14ac:dyDescent="0.25">
      <c r="A742" t="s">
        <v>1156</v>
      </c>
      <c r="B742" t="s">
        <v>161</v>
      </c>
      <c r="C742" t="s">
        <v>24</v>
      </c>
      <c r="D742">
        <v>75</v>
      </c>
      <c r="E742" t="s">
        <v>1157</v>
      </c>
      <c r="F742" t="s">
        <v>88</v>
      </c>
      <c r="G742" t="s">
        <v>36</v>
      </c>
      <c r="H742" t="str">
        <f>INDEX(Table1[Diagnosis],MATCH(I742,'codeand diagnosis'!$A$2:$A$11,0))</f>
        <v>Dental examination</v>
      </c>
      <c r="I742" t="s">
        <v>45</v>
      </c>
      <c r="J742" t="str">
        <f>INDEX(Table1[ICD-10 Code],MATCH(Table2[[#This Row],[Treatment]],Table1[Treatment Type],0))</f>
        <v>Z01.2</v>
      </c>
      <c r="K742" t="s">
        <v>28</v>
      </c>
      <c r="L742" t="s">
        <v>28</v>
      </c>
      <c r="M742" t="s">
        <v>29</v>
      </c>
      <c r="N742">
        <f>Table2[[#This Row],[Total Paid]]+Table2[[#This Row],[Due]]</f>
        <v>150</v>
      </c>
      <c r="O742">
        <v>0</v>
      </c>
      <c r="P742">
        <v>0</v>
      </c>
      <c r="Q742">
        <v>200</v>
      </c>
      <c r="R742">
        <v>0</v>
      </c>
      <c r="S742">
        <v>50</v>
      </c>
      <c r="T742">
        <v>150</v>
      </c>
      <c r="U742">
        <v>0</v>
      </c>
      <c r="V742">
        <v>150</v>
      </c>
      <c r="W742" t="s">
        <v>42</v>
      </c>
      <c r="X742" s="6" t="s">
        <v>1128</v>
      </c>
    </row>
    <row r="743" spans="1:24" hidden="1" x14ac:dyDescent="0.25">
      <c r="A743" t="s">
        <v>1158</v>
      </c>
      <c r="B743" t="s">
        <v>91</v>
      </c>
      <c r="C743" t="s">
        <v>34</v>
      </c>
      <c r="D743">
        <v>32</v>
      </c>
      <c r="E743" t="s">
        <v>1157</v>
      </c>
      <c r="F743" t="s">
        <v>50</v>
      </c>
      <c r="G743" t="s">
        <v>36</v>
      </c>
      <c r="H743" t="str">
        <f>INDEX(Table1[Diagnosis],MATCH(I743,'codeand diagnosis'!$A$2:$A$11,0))</f>
        <v>Retained dental root</v>
      </c>
      <c r="I743" t="s">
        <v>145</v>
      </c>
      <c r="J743" t="str">
        <f>INDEX(Table1[ICD-10 Code],MATCH(Table2[[#This Row],[Treatment]],Table1[Treatment Type],0))</f>
        <v>K08.3</v>
      </c>
      <c r="K743" t="s">
        <v>28</v>
      </c>
      <c r="L743" t="s">
        <v>38</v>
      </c>
      <c r="M743" t="s">
        <v>46</v>
      </c>
      <c r="N743">
        <f>Table2[[#This Row],[Total Paid]]+Table2[[#This Row],[Due]]</f>
        <v>2605</v>
      </c>
      <c r="O743">
        <v>2605</v>
      </c>
      <c r="P743">
        <v>0</v>
      </c>
      <c r="Q743">
        <v>0</v>
      </c>
      <c r="R743">
        <v>760</v>
      </c>
      <c r="S743">
        <v>0</v>
      </c>
      <c r="T743">
        <v>2605</v>
      </c>
      <c r="U743">
        <v>0</v>
      </c>
      <c r="V743">
        <v>1845</v>
      </c>
      <c r="W743" t="s">
        <v>42</v>
      </c>
      <c r="X743" s="6" t="s">
        <v>1128</v>
      </c>
    </row>
    <row r="744" spans="1:24" hidden="1" x14ac:dyDescent="0.25">
      <c r="A744" t="s">
        <v>1159</v>
      </c>
      <c r="B744" t="s">
        <v>109</v>
      </c>
      <c r="C744" t="s">
        <v>34</v>
      </c>
      <c r="D744">
        <v>67</v>
      </c>
      <c r="E744" t="s">
        <v>1157</v>
      </c>
      <c r="F744" t="s">
        <v>35</v>
      </c>
      <c r="G744" t="s">
        <v>36</v>
      </c>
      <c r="H744" t="str">
        <f>INDEX(Table1[Diagnosis],MATCH(I744,'codeand diagnosis'!$A$2:$A$11,0))</f>
        <v>Gingivitis</v>
      </c>
      <c r="I744" t="s">
        <v>27</v>
      </c>
      <c r="J744" t="str">
        <f>INDEX(Table1[ICD-10 Code],MATCH(Table2[[#This Row],[Treatment]],Table1[Treatment Type],0))</f>
        <v>K05.10</v>
      </c>
      <c r="K744" t="s">
        <v>28</v>
      </c>
      <c r="L744" t="s">
        <v>38</v>
      </c>
      <c r="M744" t="s">
        <v>29</v>
      </c>
      <c r="N744">
        <f>Table2[[#This Row],[Total Paid]]+Table2[[#This Row],[Due]]</f>
        <v>524</v>
      </c>
      <c r="O744">
        <v>524</v>
      </c>
      <c r="P744">
        <v>0</v>
      </c>
      <c r="Q744">
        <v>0</v>
      </c>
      <c r="R744">
        <v>0</v>
      </c>
      <c r="S744">
        <v>0</v>
      </c>
      <c r="T744">
        <v>524</v>
      </c>
      <c r="U744">
        <v>0</v>
      </c>
      <c r="V744">
        <v>524</v>
      </c>
      <c r="W744" t="s">
        <v>51</v>
      </c>
      <c r="X744" s="6" t="s">
        <v>1128</v>
      </c>
    </row>
    <row r="745" spans="1:24" hidden="1" x14ac:dyDescent="0.25">
      <c r="A745" t="s">
        <v>1160</v>
      </c>
      <c r="B745" t="s">
        <v>420</v>
      </c>
      <c r="C745" t="s">
        <v>34</v>
      </c>
      <c r="D745">
        <v>57</v>
      </c>
      <c r="E745" t="s">
        <v>1161</v>
      </c>
      <c r="F745" t="s">
        <v>88</v>
      </c>
      <c r="G745" t="s">
        <v>26</v>
      </c>
      <c r="H745" t="str">
        <f>INDEX(Table1[Diagnosis],MATCH(I745,'codeand diagnosis'!$A$2:$A$11,0))</f>
        <v>Dental examination</v>
      </c>
      <c r="I745" t="s">
        <v>45</v>
      </c>
      <c r="J745" t="str">
        <f>INDEX(Table1[ICD-10 Code],MATCH(Table2[[#This Row],[Treatment]],Table1[Treatment Type],0))</f>
        <v>Z01.2</v>
      </c>
      <c r="K745" t="s">
        <v>28</v>
      </c>
      <c r="L745" t="s">
        <v>28</v>
      </c>
      <c r="M745" t="s">
        <v>29</v>
      </c>
      <c r="N745">
        <f>Table2[[#This Row],[Total Paid]]+Table2[[#This Row],[Due]]</f>
        <v>200</v>
      </c>
      <c r="O745">
        <v>0</v>
      </c>
      <c r="P745">
        <v>0</v>
      </c>
      <c r="Q745">
        <v>200</v>
      </c>
      <c r="R745">
        <v>0</v>
      </c>
      <c r="S745">
        <v>0</v>
      </c>
      <c r="T745">
        <v>200</v>
      </c>
      <c r="U745">
        <v>0</v>
      </c>
      <c r="V745">
        <v>200</v>
      </c>
      <c r="W745" t="s">
        <v>51</v>
      </c>
      <c r="X745" s="6" t="s">
        <v>1128</v>
      </c>
    </row>
    <row r="746" spans="1:24" hidden="1" x14ac:dyDescent="0.25">
      <c r="A746" t="s">
        <v>1162</v>
      </c>
      <c r="B746" t="s">
        <v>447</v>
      </c>
      <c r="C746" t="s">
        <v>24</v>
      </c>
      <c r="D746">
        <v>77</v>
      </c>
      <c r="E746" t="s">
        <v>1163</v>
      </c>
      <c r="F746" t="s">
        <v>88</v>
      </c>
      <c r="G746" t="s">
        <v>26</v>
      </c>
      <c r="H746" t="str">
        <f>INDEX(Table1[Diagnosis],MATCH(I746,'codeand diagnosis'!$A$2:$A$11,0))</f>
        <v>Dental examination with radiology</v>
      </c>
      <c r="I746" t="s">
        <v>37</v>
      </c>
      <c r="J746" t="str">
        <f>INDEX(Table1[ICD-10 Code],MATCH(Table2[[#This Row],[Treatment]],Table1[Treatment Type],0))</f>
        <v>Z01.2</v>
      </c>
      <c r="K746" t="s">
        <v>38</v>
      </c>
      <c r="L746" t="s">
        <v>38</v>
      </c>
      <c r="M746" t="s">
        <v>29</v>
      </c>
      <c r="N746">
        <f>Table2[[#This Row],[Total Paid]]+Table2[[#This Row],[Due]]</f>
        <v>150</v>
      </c>
      <c r="O746">
        <v>0</v>
      </c>
      <c r="P746">
        <v>150</v>
      </c>
      <c r="Q746">
        <v>0</v>
      </c>
      <c r="R746">
        <v>0</v>
      </c>
      <c r="S746">
        <v>0</v>
      </c>
      <c r="T746">
        <v>150</v>
      </c>
      <c r="U746">
        <v>0</v>
      </c>
      <c r="V746">
        <v>150</v>
      </c>
      <c r="W746" t="s">
        <v>47</v>
      </c>
      <c r="X746" s="6" t="s">
        <v>1128</v>
      </c>
    </row>
    <row r="747" spans="1:24" hidden="1" x14ac:dyDescent="0.25">
      <c r="A747" t="s">
        <v>1164</v>
      </c>
      <c r="B747" t="s">
        <v>106</v>
      </c>
      <c r="C747" t="s">
        <v>24</v>
      </c>
      <c r="D747">
        <v>36</v>
      </c>
      <c r="E747" t="s">
        <v>1163</v>
      </c>
      <c r="F747" t="s">
        <v>35</v>
      </c>
      <c r="G747" t="s">
        <v>26</v>
      </c>
      <c r="H747" t="str">
        <f>INDEX(Table1[Diagnosis],MATCH(I747,'codeand diagnosis'!$A$2:$A$11,0))</f>
        <v>Dental examination</v>
      </c>
      <c r="I747" t="s">
        <v>45</v>
      </c>
      <c r="J747" t="str">
        <f>INDEX(Table1[ICD-10 Code],MATCH(Table2[[#This Row],[Treatment]],Table1[Treatment Type],0))</f>
        <v>Z01.2</v>
      </c>
      <c r="K747" t="s">
        <v>28</v>
      </c>
      <c r="L747" t="s">
        <v>28</v>
      </c>
      <c r="M747" t="s">
        <v>29</v>
      </c>
      <c r="N747">
        <f>Table2[[#This Row],[Total Paid]]+Table2[[#This Row],[Due]]</f>
        <v>200</v>
      </c>
      <c r="O747">
        <v>0</v>
      </c>
      <c r="P747">
        <v>0</v>
      </c>
      <c r="Q747">
        <v>200</v>
      </c>
      <c r="R747">
        <v>0</v>
      </c>
      <c r="S747">
        <v>0</v>
      </c>
      <c r="T747">
        <v>200</v>
      </c>
      <c r="U747">
        <v>0</v>
      </c>
      <c r="V747">
        <v>200</v>
      </c>
      <c r="W747" t="s">
        <v>51</v>
      </c>
      <c r="X747" s="6" t="s">
        <v>1128</v>
      </c>
    </row>
    <row r="748" spans="1:24" hidden="1" x14ac:dyDescent="0.25">
      <c r="A748" t="s">
        <v>1165</v>
      </c>
      <c r="B748" t="s">
        <v>53</v>
      </c>
      <c r="C748" t="s">
        <v>34</v>
      </c>
      <c r="D748">
        <v>80</v>
      </c>
      <c r="E748" t="s">
        <v>1163</v>
      </c>
      <c r="F748" t="s">
        <v>35</v>
      </c>
      <c r="G748" t="s">
        <v>26</v>
      </c>
      <c r="H748" t="str">
        <f>INDEX(Table1[Diagnosis],MATCH(I748,'codeand diagnosis'!$A$2:$A$11,0))</f>
        <v>Dental examination</v>
      </c>
      <c r="I748" t="s">
        <v>45</v>
      </c>
      <c r="J748" t="str">
        <f>INDEX(Table1[ICD-10 Code],MATCH(Table2[[#This Row],[Treatment]],Table1[Treatment Type],0))</f>
        <v>Z01.2</v>
      </c>
      <c r="K748" t="s">
        <v>38</v>
      </c>
      <c r="L748" t="s">
        <v>28</v>
      </c>
      <c r="M748" t="s">
        <v>29</v>
      </c>
      <c r="N748">
        <f>Table2[[#This Row],[Total Paid]]+Table2[[#This Row],[Due]]</f>
        <v>0</v>
      </c>
      <c r="O748">
        <v>0</v>
      </c>
      <c r="P748">
        <v>0</v>
      </c>
      <c r="Q748">
        <v>0</v>
      </c>
      <c r="R748">
        <v>0</v>
      </c>
      <c r="S748">
        <v>0</v>
      </c>
      <c r="T748">
        <v>0</v>
      </c>
      <c r="U748">
        <v>0</v>
      </c>
      <c r="V748">
        <v>0</v>
      </c>
      <c r="W748" t="s">
        <v>30</v>
      </c>
      <c r="X748" s="6" t="s">
        <v>1128</v>
      </c>
    </row>
    <row r="749" spans="1:24" hidden="1" x14ac:dyDescent="0.25">
      <c r="A749" t="s">
        <v>1166</v>
      </c>
      <c r="B749" t="s">
        <v>531</v>
      </c>
      <c r="C749" t="s">
        <v>34</v>
      </c>
      <c r="D749">
        <v>57</v>
      </c>
      <c r="E749" t="s">
        <v>1167</v>
      </c>
      <c r="F749" t="s">
        <v>35</v>
      </c>
      <c r="G749" t="s">
        <v>36</v>
      </c>
      <c r="H749" t="str">
        <f>INDEX(Table1[Diagnosis],MATCH(I749,'codeand diagnosis'!$A$2:$A$11,0))</f>
        <v>Dental caries</v>
      </c>
      <c r="I749" t="s">
        <v>41</v>
      </c>
      <c r="J749" t="str">
        <f>INDEX(Table1[ICD-10 Code],MATCH(Table2[[#This Row],[Treatment]],Table1[Treatment Type],0))</f>
        <v>K02.9</v>
      </c>
      <c r="K749" t="s">
        <v>28</v>
      </c>
      <c r="L749" t="s">
        <v>28</v>
      </c>
      <c r="M749" t="s">
        <v>46</v>
      </c>
      <c r="N749">
        <f>Table2[[#This Row],[Total Paid]]+Table2[[#This Row],[Due]]</f>
        <v>966</v>
      </c>
      <c r="O749">
        <v>966</v>
      </c>
      <c r="P749">
        <v>0</v>
      </c>
      <c r="Q749">
        <v>0</v>
      </c>
      <c r="R749">
        <v>0</v>
      </c>
      <c r="S749">
        <v>0</v>
      </c>
      <c r="T749">
        <v>966</v>
      </c>
      <c r="U749">
        <v>0</v>
      </c>
      <c r="V749">
        <v>966</v>
      </c>
      <c r="W749" t="s">
        <v>51</v>
      </c>
      <c r="X749" s="6" t="s">
        <v>1128</v>
      </c>
    </row>
    <row r="750" spans="1:24" hidden="1" x14ac:dyDescent="0.25">
      <c r="A750" t="s">
        <v>1168</v>
      </c>
      <c r="B750" t="s">
        <v>173</v>
      </c>
      <c r="C750" t="s">
        <v>24</v>
      </c>
      <c r="D750">
        <v>9</v>
      </c>
      <c r="E750" t="s">
        <v>1167</v>
      </c>
      <c r="F750" t="s">
        <v>35</v>
      </c>
      <c r="G750" t="s">
        <v>36</v>
      </c>
      <c r="H750" t="str">
        <f>INDEX(Table1[Diagnosis],MATCH(I750,'codeand diagnosis'!$A$2:$A$11,0))</f>
        <v>Dental examination</v>
      </c>
      <c r="I750" t="s">
        <v>45</v>
      </c>
      <c r="J750" t="str">
        <f>INDEX(Table1[ICD-10 Code],MATCH(Table2[[#This Row],[Treatment]],Table1[Treatment Type],0))</f>
        <v>Z01.2</v>
      </c>
      <c r="K750" t="s">
        <v>28</v>
      </c>
      <c r="L750" t="s">
        <v>28</v>
      </c>
      <c r="M750" t="s">
        <v>29</v>
      </c>
      <c r="N750">
        <f>Table2[[#This Row],[Total Paid]]+Table2[[#This Row],[Due]]</f>
        <v>120</v>
      </c>
      <c r="O750">
        <v>0</v>
      </c>
      <c r="P750">
        <v>0</v>
      </c>
      <c r="Q750">
        <v>200</v>
      </c>
      <c r="R750">
        <v>0</v>
      </c>
      <c r="S750">
        <v>80</v>
      </c>
      <c r="T750">
        <v>120</v>
      </c>
      <c r="U750">
        <v>0</v>
      </c>
      <c r="V750">
        <v>120</v>
      </c>
      <c r="W750" t="s">
        <v>42</v>
      </c>
      <c r="X750" s="6" t="s">
        <v>1128</v>
      </c>
    </row>
    <row r="751" spans="1:24" hidden="1" x14ac:dyDescent="0.25">
      <c r="A751" t="s">
        <v>1169</v>
      </c>
      <c r="B751" t="s">
        <v>279</v>
      </c>
      <c r="C751" t="s">
        <v>34</v>
      </c>
      <c r="D751">
        <v>43</v>
      </c>
      <c r="E751" t="s">
        <v>1170</v>
      </c>
      <c r="F751" t="s">
        <v>35</v>
      </c>
      <c r="G751" t="s">
        <v>26</v>
      </c>
      <c r="H751" t="str">
        <f>INDEX(Table1[Diagnosis],MATCH(I751,'codeand diagnosis'!$A$2:$A$11,0))</f>
        <v>Dental examination</v>
      </c>
      <c r="I751" t="s">
        <v>45</v>
      </c>
      <c r="J751" t="str">
        <f>INDEX(Table1[ICD-10 Code],MATCH(Table2[[#This Row],[Treatment]],Table1[Treatment Type],0))</f>
        <v>Z01.2</v>
      </c>
      <c r="K751" t="s">
        <v>38</v>
      </c>
      <c r="L751" t="s">
        <v>28</v>
      </c>
      <c r="M751" t="s">
        <v>29</v>
      </c>
      <c r="N751">
        <f>Table2[[#This Row],[Total Paid]]+Table2[[#This Row],[Due]]</f>
        <v>0</v>
      </c>
      <c r="O751">
        <v>0</v>
      </c>
      <c r="P751">
        <v>0</v>
      </c>
      <c r="Q751">
        <v>0</v>
      </c>
      <c r="R751">
        <v>0</v>
      </c>
      <c r="S751">
        <v>0</v>
      </c>
      <c r="T751">
        <v>0</v>
      </c>
      <c r="U751">
        <v>0</v>
      </c>
      <c r="V751">
        <v>0</v>
      </c>
      <c r="W751" t="s">
        <v>51</v>
      </c>
      <c r="X751" s="6" t="s">
        <v>1128</v>
      </c>
    </row>
    <row r="752" spans="1:24" hidden="1" x14ac:dyDescent="0.25">
      <c r="A752" t="s">
        <v>1171</v>
      </c>
      <c r="B752" t="s">
        <v>177</v>
      </c>
      <c r="C752" t="s">
        <v>34</v>
      </c>
      <c r="D752">
        <v>23</v>
      </c>
      <c r="E752" t="s">
        <v>1170</v>
      </c>
      <c r="F752" t="s">
        <v>35</v>
      </c>
      <c r="G752" t="s">
        <v>26</v>
      </c>
      <c r="H752" t="str">
        <f>INDEX(Table1[Diagnosis],MATCH(I752,'codeand diagnosis'!$A$2:$A$11,0))</f>
        <v>Dental examination with radiology</v>
      </c>
      <c r="I752" t="s">
        <v>37</v>
      </c>
      <c r="J752" t="str">
        <f>INDEX(Table1[ICD-10 Code],MATCH(Table2[[#This Row],[Treatment]],Table1[Treatment Type],0))</f>
        <v>Z01.2</v>
      </c>
      <c r="K752" t="s">
        <v>28</v>
      </c>
      <c r="L752" t="s">
        <v>38</v>
      </c>
      <c r="M752" t="s">
        <v>29</v>
      </c>
      <c r="N752">
        <f>Table2[[#This Row],[Total Paid]]+Table2[[#This Row],[Due]]</f>
        <v>350</v>
      </c>
      <c r="O752">
        <v>0</v>
      </c>
      <c r="P752">
        <v>150</v>
      </c>
      <c r="Q752">
        <v>200</v>
      </c>
      <c r="R752">
        <v>0</v>
      </c>
      <c r="S752">
        <v>0</v>
      </c>
      <c r="T752">
        <v>350</v>
      </c>
      <c r="U752">
        <v>0</v>
      </c>
      <c r="V752">
        <v>350</v>
      </c>
      <c r="W752" t="s">
        <v>47</v>
      </c>
      <c r="X752" s="6" t="s">
        <v>1128</v>
      </c>
    </row>
    <row r="753" spans="1:24" hidden="1" x14ac:dyDescent="0.25">
      <c r="A753" t="s">
        <v>1172</v>
      </c>
      <c r="B753" t="s">
        <v>296</v>
      </c>
      <c r="C753" t="s">
        <v>24</v>
      </c>
      <c r="D753">
        <v>75</v>
      </c>
      <c r="E753" t="s">
        <v>1173</v>
      </c>
      <c r="F753" t="s">
        <v>88</v>
      </c>
      <c r="G753" t="s">
        <v>26</v>
      </c>
      <c r="H753" t="str">
        <f>INDEX(Table1[Diagnosis],MATCH(I753,'codeand diagnosis'!$A$2:$A$11,0))</f>
        <v>Dental examination with radiology</v>
      </c>
      <c r="I753" t="s">
        <v>37</v>
      </c>
      <c r="J753" t="str">
        <f>INDEX(Table1[ICD-10 Code],MATCH(Table2[[#This Row],[Treatment]],Table1[Treatment Type],0))</f>
        <v>Z01.2</v>
      </c>
      <c r="K753" t="s">
        <v>28</v>
      </c>
      <c r="L753" t="s">
        <v>38</v>
      </c>
      <c r="M753" t="s">
        <v>29</v>
      </c>
      <c r="N753">
        <f>Table2[[#This Row],[Total Paid]]+Table2[[#This Row],[Due]]</f>
        <v>350</v>
      </c>
      <c r="O753">
        <v>0</v>
      </c>
      <c r="P753">
        <v>150</v>
      </c>
      <c r="Q753">
        <v>200</v>
      </c>
      <c r="R753">
        <v>0</v>
      </c>
      <c r="S753">
        <v>0</v>
      </c>
      <c r="T753">
        <v>350</v>
      </c>
      <c r="U753">
        <v>0</v>
      </c>
      <c r="V753">
        <v>350</v>
      </c>
      <c r="W753" t="s">
        <v>42</v>
      </c>
      <c r="X753" s="6" t="s">
        <v>1128</v>
      </c>
    </row>
    <row r="754" spans="1:24" hidden="1" x14ac:dyDescent="0.25">
      <c r="A754" t="s">
        <v>1174</v>
      </c>
      <c r="B754" t="s">
        <v>224</v>
      </c>
      <c r="C754" t="s">
        <v>34</v>
      </c>
      <c r="D754">
        <v>19</v>
      </c>
      <c r="E754" t="s">
        <v>1173</v>
      </c>
      <c r="F754" t="s">
        <v>35</v>
      </c>
      <c r="G754" t="s">
        <v>36</v>
      </c>
      <c r="H754" t="str">
        <f>INDEX(Table1[Diagnosis],MATCH(I754,'codeand diagnosis'!$A$2:$A$11,0))</f>
        <v>Dental examination with radiology</v>
      </c>
      <c r="I754" t="s">
        <v>37</v>
      </c>
      <c r="J754" t="str">
        <f>INDEX(Table1[ICD-10 Code],MATCH(Table2[[#This Row],[Treatment]],Table1[Treatment Type],0))</f>
        <v>Z01.2</v>
      </c>
      <c r="K754" t="s">
        <v>28</v>
      </c>
      <c r="L754" t="s">
        <v>38</v>
      </c>
      <c r="M754" t="s">
        <v>29</v>
      </c>
      <c r="N754">
        <f>Table2[[#This Row],[Total Paid]]+Table2[[#This Row],[Due]]</f>
        <v>350</v>
      </c>
      <c r="O754">
        <v>0</v>
      </c>
      <c r="P754">
        <v>150</v>
      </c>
      <c r="Q754">
        <v>200</v>
      </c>
      <c r="R754">
        <v>0</v>
      </c>
      <c r="S754">
        <v>0</v>
      </c>
      <c r="T754">
        <v>350</v>
      </c>
      <c r="U754">
        <v>0</v>
      </c>
      <c r="V754">
        <v>350</v>
      </c>
      <c r="W754" t="s">
        <v>51</v>
      </c>
      <c r="X754" s="6" t="s">
        <v>1128</v>
      </c>
    </row>
    <row r="755" spans="1:24" hidden="1" x14ac:dyDescent="0.25">
      <c r="A755" t="s">
        <v>1175</v>
      </c>
      <c r="B755" t="s">
        <v>121</v>
      </c>
      <c r="C755" t="s">
        <v>34</v>
      </c>
      <c r="D755">
        <v>35</v>
      </c>
      <c r="E755" t="s">
        <v>1176</v>
      </c>
      <c r="F755" t="s">
        <v>60</v>
      </c>
      <c r="G755" t="s">
        <v>26</v>
      </c>
      <c r="H755" t="str">
        <f>INDEX(Table1[Diagnosis],MATCH(I755,'codeand diagnosis'!$A$2:$A$11,0))</f>
        <v>Dental examination</v>
      </c>
      <c r="I755" t="s">
        <v>45</v>
      </c>
      <c r="J755" t="str">
        <f>INDEX(Table1[ICD-10 Code],MATCH(Table2[[#This Row],[Treatment]],Table1[Treatment Type],0))</f>
        <v>Z01.2</v>
      </c>
      <c r="K755" t="s">
        <v>28</v>
      </c>
      <c r="L755" t="s">
        <v>28</v>
      </c>
      <c r="M755" t="s">
        <v>46</v>
      </c>
      <c r="N755">
        <f>Table2[[#This Row],[Total Paid]]+Table2[[#This Row],[Due]]</f>
        <v>150</v>
      </c>
      <c r="O755">
        <v>0</v>
      </c>
      <c r="P755">
        <v>0</v>
      </c>
      <c r="Q755">
        <v>200</v>
      </c>
      <c r="R755">
        <v>0</v>
      </c>
      <c r="S755">
        <v>50</v>
      </c>
      <c r="T755">
        <v>150</v>
      </c>
      <c r="U755">
        <v>0</v>
      </c>
      <c r="V755">
        <v>150</v>
      </c>
      <c r="W755" t="s">
        <v>47</v>
      </c>
      <c r="X755" s="6" t="s">
        <v>1128</v>
      </c>
    </row>
    <row r="756" spans="1:24" hidden="1" x14ac:dyDescent="0.25">
      <c r="A756" t="s">
        <v>1177</v>
      </c>
      <c r="B756" t="s">
        <v>204</v>
      </c>
      <c r="C756" t="s">
        <v>34</v>
      </c>
      <c r="D756">
        <v>20</v>
      </c>
      <c r="E756" t="s">
        <v>1176</v>
      </c>
      <c r="F756" t="s">
        <v>168</v>
      </c>
      <c r="G756" t="s">
        <v>26</v>
      </c>
      <c r="H756" t="str">
        <f>INDEX(Table1[Diagnosis],MATCH(I756,'codeand diagnosis'!$A$2:$A$11,0))</f>
        <v>Missing teeth</v>
      </c>
      <c r="I756" t="s">
        <v>78</v>
      </c>
      <c r="J756" t="str">
        <f>INDEX(Table1[ICD-10 Code],MATCH(Table2[[#This Row],[Treatment]],Table1[Treatment Type],0))</f>
        <v>K08.1</v>
      </c>
      <c r="K756" t="s">
        <v>28</v>
      </c>
      <c r="L756" t="s">
        <v>38</v>
      </c>
      <c r="M756" t="s">
        <v>29</v>
      </c>
      <c r="N756">
        <f>Table2[[#This Row],[Total Paid]]+Table2[[#This Row],[Due]]</f>
        <v>28808</v>
      </c>
      <c r="O756">
        <v>28808</v>
      </c>
      <c r="P756">
        <v>0</v>
      </c>
      <c r="Q756">
        <v>0</v>
      </c>
      <c r="R756">
        <v>6360</v>
      </c>
      <c r="S756">
        <v>0</v>
      </c>
      <c r="T756">
        <v>19607</v>
      </c>
      <c r="U756">
        <v>9201</v>
      </c>
      <c r="V756">
        <v>13247</v>
      </c>
      <c r="W756" t="s">
        <v>42</v>
      </c>
      <c r="X756" s="6" t="s">
        <v>1128</v>
      </c>
    </row>
    <row r="757" spans="1:24" hidden="1" x14ac:dyDescent="0.25">
      <c r="A757" t="s">
        <v>1178</v>
      </c>
      <c r="B757" t="s">
        <v>531</v>
      </c>
      <c r="C757" t="s">
        <v>34</v>
      </c>
      <c r="D757">
        <v>55</v>
      </c>
      <c r="E757" s="1">
        <v>45331</v>
      </c>
      <c r="F757" t="s">
        <v>92</v>
      </c>
      <c r="G757" t="s">
        <v>26</v>
      </c>
      <c r="H757" t="str">
        <f>INDEX(Table1[Diagnosis],MATCH(I757,'codeand diagnosis'!$A$2:$A$11,0))</f>
        <v>Dental examination with radiology</v>
      </c>
      <c r="I757" t="s">
        <v>37</v>
      </c>
      <c r="J757" t="str">
        <f>INDEX(Table1[ICD-10 Code],MATCH(Table2[[#This Row],[Treatment]],Table1[Treatment Type],0))</f>
        <v>Z01.2</v>
      </c>
      <c r="K757" t="s">
        <v>28</v>
      </c>
      <c r="L757" t="s">
        <v>38</v>
      </c>
      <c r="M757" t="s">
        <v>61</v>
      </c>
      <c r="N757">
        <f>Table2[[#This Row],[Total Paid]]+Table2[[#This Row],[Due]]</f>
        <v>210</v>
      </c>
      <c r="O757">
        <v>0</v>
      </c>
      <c r="P757">
        <v>150</v>
      </c>
      <c r="Q757">
        <v>200</v>
      </c>
      <c r="R757">
        <v>0</v>
      </c>
      <c r="S757">
        <v>140</v>
      </c>
      <c r="T757">
        <v>210</v>
      </c>
      <c r="U757">
        <v>0</v>
      </c>
      <c r="V757">
        <v>210</v>
      </c>
      <c r="W757" t="s">
        <v>51</v>
      </c>
      <c r="X757" s="6" t="s">
        <v>1179</v>
      </c>
    </row>
    <row r="758" spans="1:24" hidden="1" x14ac:dyDescent="0.25">
      <c r="A758" t="s">
        <v>1180</v>
      </c>
      <c r="B758" t="s">
        <v>243</v>
      </c>
      <c r="C758" t="s">
        <v>24</v>
      </c>
      <c r="D758">
        <v>72</v>
      </c>
      <c r="E758" s="1">
        <v>45360</v>
      </c>
      <c r="F758" t="s">
        <v>88</v>
      </c>
      <c r="G758" t="s">
        <v>36</v>
      </c>
      <c r="H758" t="str">
        <f>INDEX(Table1[Diagnosis],MATCH(I758,'codeand diagnosis'!$A$2:$A$11,0))</f>
        <v>Retained dental root</v>
      </c>
      <c r="I758" t="s">
        <v>145</v>
      </c>
      <c r="J758" t="str">
        <f>INDEX(Table1[ICD-10 Code],MATCH(Table2[[#This Row],[Treatment]],Table1[Treatment Type],0))</f>
        <v>K08.3</v>
      </c>
      <c r="K758" t="s">
        <v>28</v>
      </c>
      <c r="L758" t="s">
        <v>38</v>
      </c>
      <c r="M758" t="s">
        <v>29</v>
      </c>
      <c r="N758">
        <f>Table2[[#This Row],[Total Paid]]+Table2[[#This Row],[Due]]</f>
        <v>2437</v>
      </c>
      <c r="O758">
        <v>2437</v>
      </c>
      <c r="P758">
        <v>0</v>
      </c>
      <c r="Q758">
        <v>0</v>
      </c>
      <c r="R758">
        <v>890</v>
      </c>
      <c r="S758">
        <v>0</v>
      </c>
      <c r="T758">
        <v>2437</v>
      </c>
      <c r="U758">
        <v>0</v>
      </c>
      <c r="V758">
        <v>1547</v>
      </c>
      <c r="W758" t="s">
        <v>47</v>
      </c>
      <c r="X758" s="6" t="s">
        <v>1179</v>
      </c>
    </row>
    <row r="759" spans="1:24" hidden="1" x14ac:dyDescent="0.25">
      <c r="A759" t="s">
        <v>1181</v>
      </c>
      <c r="B759" t="s">
        <v>271</v>
      </c>
      <c r="C759" t="s">
        <v>24</v>
      </c>
      <c r="D759">
        <v>75</v>
      </c>
      <c r="E759" s="1">
        <v>45360</v>
      </c>
      <c r="F759" t="s">
        <v>50</v>
      </c>
      <c r="G759" t="s">
        <v>26</v>
      </c>
      <c r="H759" t="str">
        <f>INDEX(Table1[Diagnosis],MATCH(I759,'codeand diagnosis'!$A$2:$A$11,0))</f>
        <v>Malocclusion</v>
      </c>
      <c r="I759" t="s">
        <v>89</v>
      </c>
      <c r="J759" t="str">
        <f>INDEX(Table1[ICD-10 Code],MATCH(Table2[[#This Row],[Treatment]],Table1[Treatment Type],0))</f>
        <v>K07.4</v>
      </c>
      <c r="K759" t="s">
        <v>28</v>
      </c>
      <c r="L759" t="s">
        <v>28</v>
      </c>
      <c r="M759" t="s">
        <v>29</v>
      </c>
      <c r="N759">
        <f>Table2[[#This Row],[Total Paid]]+Table2[[#This Row],[Due]]</f>
        <v>17468</v>
      </c>
      <c r="O759">
        <v>17468</v>
      </c>
      <c r="P759">
        <v>0</v>
      </c>
      <c r="Q759">
        <v>0</v>
      </c>
      <c r="R759">
        <v>3300</v>
      </c>
      <c r="S759">
        <v>0</v>
      </c>
      <c r="T759">
        <v>10577</v>
      </c>
      <c r="U759">
        <v>6891</v>
      </c>
      <c r="V759">
        <v>7277</v>
      </c>
      <c r="W759" t="s">
        <v>51</v>
      </c>
      <c r="X759" s="6" t="s">
        <v>1179</v>
      </c>
    </row>
    <row r="760" spans="1:24" hidden="1" x14ac:dyDescent="0.25">
      <c r="A760" t="s">
        <v>1182</v>
      </c>
      <c r="B760" t="s">
        <v>296</v>
      </c>
      <c r="C760" t="s">
        <v>24</v>
      </c>
      <c r="D760">
        <v>79</v>
      </c>
      <c r="E760" s="1">
        <v>45391</v>
      </c>
      <c r="F760" t="s">
        <v>50</v>
      </c>
      <c r="G760" t="s">
        <v>36</v>
      </c>
      <c r="H760" t="str">
        <f>INDEX(Table1[Diagnosis],MATCH(I760,'codeand diagnosis'!$A$2:$A$11,0))</f>
        <v>Gingivitis</v>
      </c>
      <c r="I760" t="s">
        <v>27</v>
      </c>
      <c r="J760" t="str">
        <f>INDEX(Table1[ICD-10 Code],MATCH(Table2[[#This Row],[Treatment]],Table1[Treatment Type],0))</f>
        <v>K05.10</v>
      </c>
      <c r="K760" t="s">
        <v>28</v>
      </c>
      <c r="L760" t="s">
        <v>28</v>
      </c>
      <c r="M760" t="s">
        <v>29</v>
      </c>
      <c r="N760">
        <f>Table2[[#This Row],[Total Paid]]+Table2[[#This Row],[Due]]</f>
        <v>393</v>
      </c>
      <c r="O760">
        <v>655</v>
      </c>
      <c r="P760">
        <v>0</v>
      </c>
      <c r="Q760">
        <v>0</v>
      </c>
      <c r="R760">
        <v>0</v>
      </c>
      <c r="S760">
        <v>262</v>
      </c>
      <c r="T760">
        <v>393</v>
      </c>
      <c r="U760">
        <v>0</v>
      </c>
      <c r="V760">
        <v>393</v>
      </c>
      <c r="W760" t="s">
        <v>30</v>
      </c>
      <c r="X760" s="6" t="s">
        <v>1179</v>
      </c>
    </row>
    <row r="761" spans="1:24" hidden="1" x14ac:dyDescent="0.25">
      <c r="A761" t="s">
        <v>1183</v>
      </c>
      <c r="B761" t="s">
        <v>67</v>
      </c>
      <c r="C761" t="s">
        <v>24</v>
      </c>
      <c r="D761">
        <v>40</v>
      </c>
      <c r="E761" s="1">
        <v>45391</v>
      </c>
      <c r="F761" t="s">
        <v>25</v>
      </c>
      <c r="G761" t="s">
        <v>26</v>
      </c>
      <c r="H761" t="str">
        <f>INDEX(Table1[Diagnosis],MATCH(I761,'codeand diagnosis'!$A$2:$A$11,0))</f>
        <v>Dental examination with radiology</v>
      </c>
      <c r="I761" t="s">
        <v>37</v>
      </c>
      <c r="J761" t="str">
        <f>INDEX(Table1[ICD-10 Code],MATCH(Table2[[#This Row],[Treatment]],Table1[Treatment Type],0))</f>
        <v>Z01.2</v>
      </c>
      <c r="K761" t="s">
        <v>28</v>
      </c>
      <c r="L761" t="s">
        <v>38</v>
      </c>
      <c r="M761" t="s">
        <v>61</v>
      </c>
      <c r="N761">
        <f>Table2[[#This Row],[Total Paid]]+Table2[[#This Row],[Due]]</f>
        <v>350</v>
      </c>
      <c r="O761">
        <v>0</v>
      </c>
      <c r="P761">
        <v>150</v>
      </c>
      <c r="Q761">
        <v>200</v>
      </c>
      <c r="R761">
        <v>0</v>
      </c>
      <c r="S761">
        <v>0</v>
      </c>
      <c r="T761">
        <v>350</v>
      </c>
      <c r="U761">
        <v>0</v>
      </c>
      <c r="V761">
        <v>350</v>
      </c>
      <c r="W761" t="s">
        <v>47</v>
      </c>
      <c r="X761" s="6" t="s">
        <v>1179</v>
      </c>
    </row>
    <row r="762" spans="1:24" hidden="1" x14ac:dyDescent="0.25">
      <c r="A762" t="s">
        <v>1184</v>
      </c>
      <c r="B762" t="s">
        <v>121</v>
      </c>
      <c r="C762" t="s">
        <v>34</v>
      </c>
      <c r="D762">
        <v>11</v>
      </c>
      <c r="E762" s="1">
        <v>45391</v>
      </c>
      <c r="F762" t="s">
        <v>50</v>
      </c>
      <c r="G762" t="s">
        <v>26</v>
      </c>
      <c r="H762" t="str">
        <f>INDEX(Table1[Diagnosis],MATCH(I762,'codeand diagnosis'!$A$2:$A$11,0))</f>
        <v>Dental examination</v>
      </c>
      <c r="I762" t="s">
        <v>45</v>
      </c>
      <c r="J762" t="str">
        <f>INDEX(Table1[ICD-10 Code],MATCH(Table2[[#This Row],[Treatment]],Table1[Treatment Type],0))</f>
        <v>Z01.2</v>
      </c>
      <c r="K762" t="s">
        <v>28</v>
      </c>
      <c r="L762" t="s">
        <v>28</v>
      </c>
      <c r="M762" t="s">
        <v>29</v>
      </c>
      <c r="N762">
        <f>Table2[[#This Row],[Total Paid]]+Table2[[#This Row],[Due]]</f>
        <v>150</v>
      </c>
      <c r="O762">
        <v>0</v>
      </c>
      <c r="P762">
        <v>0</v>
      </c>
      <c r="Q762">
        <v>200</v>
      </c>
      <c r="R762">
        <v>0</v>
      </c>
      <c r="S762">
        <v>50</v>
      </c>
      <c r="T762">
        <v>150</v>
      </c>
      <c r="U762">
        <v>0</v>
      </c>
      <c r="V762">
        <v>150</v>
      </c>
      <c r="W762" t="s">
        <v>51</v>
      </c>
      <c r="X762" s="6" t="s">
        <v>1179</v>
      </c>
    </row>
    <row r="763" spans="1:24" hidden="1" x14ac:dyDescent="0.25">
      <c r="A763" t="s">
        <v>1185</v>
      </c>
      <c r="B763" t="s">
        <v>106</v>
      </c>
      <c r="C763" t="s">
        <v>24</v>
      </c>
      <c r="D763">
        <v>9</v>
      </c>
      <c r="E763" s="1">
        <v>45421</v>
      </c>
      <c r="F763" t="s">
        <v>88</v>
      </c>
      <c r="G763" t="s">
        <v>36</v>
      </c>
      <c r="H763" t="str">
        <f>INDEX(Table1[Diagnosis],MATCH(I763,'codeand diagnosis'!$A$2:$A$11,0))</f>
        <v>Dental examination with radiology</v>
      </c>
      <c r="I763" t="s">
        <v>37</v>
      </c>
      <c r="J763" t="str">
        <f>INDEX(Table1[ICD-10 Code],MATCH(Table2[[#This Row],[Treatment]],Table1[Treatment Type],0))</f>
        <v>Z01.2</v>
      </c>
      <c r="K763" t="s">
        <v>28</v>
      </c>
      <c r="L763" t="s">
        <v>38</v>
      </c>
      <c r="M763" t="s">
        <v>46</v>
      </c>
      <c r="N763">
        <f>Table2[[#This Row],[Total Paid]]+Table2[[#This Row],[Due]]</f>
        <v>350</v>
      </c>
      <c r="O763">
        <v>0</v>
      </c>
      <c r="P763">
        <v>150</v>
      </c>
      <c r="Q763">
        <v>200</v>
      </c>
      <c r="R763">
        <v>0</v>
      </c>
      <c r="S763">
        <v>0</v>
      </c>
      <c r="T763">
        <v>350</v>
      </c>
      <c r="U763">
        <v>0</v>
      </c>
      <c r="V763">
        <v>350</v>
      </c>
      <c r="W763" t="s">
        <v>51</v>
      </c>
      <c r="X763" s="6" t="s">
        <v>1179</v>
      </c>
    </row>
    <row r="764" spans="1:24" hidden="1" x14ac:dyDescent="0.25">
      <c r="A764" t="s">
        <v>1186</v>
      </c>
      <c r="B764" t="s">
        <v>194</v>
      </c>
      <c r="C764" t="s">
        <v>34</v>
      </c>
      <c r="D764">
        <v>18</v>
      </c>
      <c r="E764" s="1">
        <v>45421</v>
      </c>
      <c r="F764" t="s">
        <v>88</v>
      </c>
      <c r="G764" t="s">
        <v>36</v>
      </c>
      <c r="H764" t="str">
        <f>INDEX(Table1[Diagnosis],MATCH(I764,'codeand diagnosis'!$A$2:$A$11,0))</f>
        <v>Dental examination</v>
      </c>
      <c r="I764" t="s">
        <v>45</v>
      </c>
      <c r="J764" t="str">
        <f>INDEX(Table1[ICD-10 Code],MATCH(Table2[[#This Row],[Treatment]],Table1[Treatment Type],0))</f>
        <v>Z01.2</v>
      </c>
      <c r="K764" t="s">
        <v>28</v>
      </c>
      <c r="L764" t="s">
        <v>28</v>
      </c>
      <c r="M764" t="s">
        <v>29</v>
      </c>
      <c r="N764">
        <f>Table2[[#This Row],[Total Paid]]+Table2[[#This Row],[Due]]</f>
        <v>120</v>
      </c>
      <c r="O764">
        <v>0</v>
      </c>
      <c r="P764">
        <v>0</v>
      </c>
      <c r="Q764">
        <v>200</v>
      </c>
      <c r="R764">
        <v>0</v>
      </c>
      <c r="S764">
        <v>80</v>
      </c>
      <c r="T764">
        <v>120</v>
      </c>
      <c r="U764">
        <v>0</v>
      </c>
      <c r="V764">
        <v>120</v>
      </c>
      <c r="W764" t="s">
        <v>42</v>
      </c>
      <c r="X764" s="6" t="s">
        <v>1179</v>
      </c>
    </row>
    <row r="765" spans="1:24" hidden="1" x14ac:dyDescent="0.25">
      <c r="A765" t="s">
        <v>1187</v>
      </c>
      <c r="B765" t="s">
        <v>125</v>
      </c>
      <c r="C765" t="s">
        <v>34</v>
      </c>
      <c r="D765">
        <v>29</v>
      </c>
      <c r="E765" s="1">
        <v>45452</v>
      </c>
      <c r="F765" t="s">
        <v>50</v>
      </c>
      <c r="G765" t="s">
        <v>26</v>
      </c>
      <c r="H765" t="str">
        <f>INDEX(Table1[Diagnosis],MATCH(I765,'codeand diagnosis'!$A$2:$A$11,0))</f>
        <v>Gingivitis</v>
      </c>
      <c r="I765" t="s">
        <v>27</v>
      </c>
      <c r="J765" t="str">
        <f>INDEX(Table1[ICD-10 Code],MATCH(Table2[[#This Row],[Treatment]],Table1[Treatment Type],0))</f>
        <v>K05.10</v>
      </c>
      <c r="K765" t="s">
        <v>28</v>
      </c>
      <c r="L765" t="s">
        <v>38</v>
      </c>
      <c r="M765" t="s">
        <v>29</v>
      </c>
      <c r="N765">
        <f>Table2[[#This Row],[Total Paid]]+Table2[[#This Row],[Due]]</f>
        <v>626</v>
      </c>
      <c r="O765">
        <v>626</v>
      </c>
      <c r="P765">
        <v>0</v>
      </c>
      <c r="Q765">
        <v>0</v>
      </c>
      <c r="R765">
        <v>0</v>
      </c>
      <c r="S765">
        <v>0</v>
      </c>
      <c r="T765">
        <v>626</v>
      </c>
      <c r="U765">
        <v>0</v>
      </c>
      <c r="V765">
        <v>626</v>
      </c>
      <c r="W765" t="s">
        <v>42</v>
      </c>
      <c r="X765" s="6" t="s">
        <v>1179</v>
      </c>
    </row>
    <row r="766" spans="1:24" hidden="1" x14ac:dyDescent="0.25">
      <c r="A766" t="s">
        <v>1188</v>
      </c>
      <c r="B766" t="s">
        <v>306</v>
      </c>
      <c r="C766" t="s">
        <v>24</v>
      </c>
      <c r="D766">
        <v>10</v>
      </c>
      <c r="E766" s="1">
        <v>45482</v>
      </c>
      <c r="F766" t="s">
        <v>92</v>
      </c>
      <c r="G766" t="s">
        <v>36</v>
      </c>
      <c r="H766" t="str">
        <f>INDEX(Table1[Diagnosis],MATCH(I766,'codeand diagnosis'!$A$2:$A$11,0))</f>
        <v>Dental examination</v>
      </c>
      <c r="I766" t="s">
        <v>45</v>
      </c>
      <c r="J766" t="str">
        <f>INDEX(Table1[ICD-10 Code],MATCH(Table2[[#This Row],[Treatment]],Table1[Treatment Type],0))</f>
        <v>Z01.2</v>
      </c>
      <c r="K766" t="s">
        <v>28</v>
      </c>
      <c r="L766" t="s">
        <v>28</v>
      </c>
      <c r="M766" t="s">
        <v>29</v>
      </c>
      <c r="N766">
        <f>Table2[[#This Row],[Total Paid]]+Table2[[#This Row],[Due]]</f>
        <v>200</v>
      </c>
      <c r="O766">
        <v>0</v>
      </c>
      <c r="P766">
        <v>0</v>
      </c>
      <c r="Q766">
        <v>200</v>
      </c>
      <c r="R766">
        <v>0</v>
      </c>
      <c r="S766">
        <v>0</v>
      </c>
      <c r="T766">
        <v>200</v>
      </c>
      <c r="U766">
        <v>0</v>
      </c>
      <c r="V766">
        <v>200</v>
      </c>
      <c r="W766" t="s">
        <v>51</v>
      </c>
      <c r="X766" s="6" t="s">
        <v>1179</v>
      </c>
    </row>
    <row r="767" spans="1:24" hidden="1" x14ac:dyDescent="0.25">
      <c r="A767" t="s">
        <v>1189</v>
      </c>
      <c r="B767" t="s">
        <v>125</v>
      </c>
      <c r="C767" t="s">
        <v>34</v>
      </c>
      <c r="D767">
        <v>24</v>
      </c>
      <c r="E767" s="1">
        <v>45574</v>
      </c>
      <c r="F767" t="s">
        <v>50</v>
      </c>
      <c r="G767" t="s">
        <v>26</v>
      </c>
      <c r="H767" t="str">
        <f>INDEX(Table1[Diagnosis],MATCH(I767,'codeand diagnosis'!$A$2:$A$11,0))</f>
        <v>Dental examination with radiology</v>
      </c>
      <c r="I767" t="s">
        <v>37</v>
      </c>
      <c r="J767" t="str">
        <f>INDEX(Table1[ICD-10 Code],MATCH(Table2[[#This Row],[Treatment]],Table1[Treatment Type],0))</f>
        <v>Z01.2</v>
      </c>
      <c r="K767" t="s">
        <v>28</v>
      </c>
      <c r="L767" t="s">
        <v>38</v>
      </c>
      <c r="M767" t="s">
        <v>29</v>
      </c>
      <c r="N767">
        <f>Table2[[#This Row],[Total Paid]]+Table2[[#This Row],[Due]]</f>
        <v>350</v>
      </c>
      <c r="O767">
        <v>0</v>
      </c>
      <c r="P767">
        <v>150</v>
      </c>
      <c r="Q767">
        <v>200</v>
      </c>
      <c r="R767">
        <v>0</v>
      </c>
      <c r="S767">
        <v>0</v>
      </c>
      <c r="T767">
        <v>350</v>
      </c>
      <c r="U767">
        <v>0</v>
      </c>
      <c r="V767">
        <v>350</v>
      </c>
      <c r="W767" t="s">
        <v>51</v>
      </c>
      <c r="X767" s="6" t="s">
        <v>1179</v>
      </c>
    </row>
    <row r="768" spans="1:24" hidden="1" x14ac:dyDescent="0.25">
      <c r="A768" t="s">
        <v>1190</v>
      </c>
      <c r="B768" t="s">
        <v>222</v>
      </c>
      <c r="C768" t="s">
        <v>24</v>
      </c>
      <c r="D768">
        <v>31</v>
      </c>
      <c r="E768" s="1">
        <v>45605</v>
      </c>
      <c r="F768" t="s">
        <v>50</v>
      </c>
      <c r="G768" t="s">
        <v>26</v>
      </c>
      <c r="H768" t="str">
        <f>INDEX(Table1[Diagnosis],MATCH(I768,'codeand diagnosis'!$A$2:$A$11,0))</f>
        <v>Malocclusion</v>
      </c>
      <c r="I768" t="s">
        <v>89</v>
      </c>
      <c r="J768" t="str">
        <f>INDEX(Table1[ICD-10 Code],MATCH(Table2[[#This Row],[Treatment]],Table1[Treatment Type],0))</f>
        <v>K07.4</v>
      </c>
      <c r="K768" t="s">
        <v>28</v>
      </c>
      <c r="L768" t="s">
        <v>28</v>
      </c>
      <c r="M768" t="s">
        <v>61</v>
      </c>
      <c r="N768">
        <f>Table2[[#This Row],[Total Paid]]+Table2[[#This Row],[Due]]</f>
        <v>15721</v>
      </c>
      <c r="O768">
        <v>15721</v>
      </c>
      <c r="P768">
        <v>0</v>
      </c>
      <c r="Q768">
        <v>0</v>
      </c>
      <c r="R768">
        <v>4420</v>
      </c>
      <c r="S768">
        <v>0</v>
      </c>
      <c r="T768">
        <v>13249</v>
      </c>
      <c r="U768">
        <v>2472</v>
      </c>
      <c r="V768">
        <v>8829</v>
      </c>
      <c r="W768" t="s">
        <v>42</v>
      </c>
      <c r="X768" s="6" t="s">
        <v>1179</v>
      </c>
    </row>
    <row r="769" spans="1:24" hidden="1" x14ac:dyDescent="0.25">
      <c r="A769" t="s">
        <v>1191</v>
      </c>
      <c r="B769" t="s">
        <v>156</v>
      </c>
      <c r="C769" t="s">
        <v>24</v>
      </c>
      <c r="D769">
        <v>55</v>
      </c>
      <c r="E769" s="1">
        <v>45635</v>
      </c>
      <c r="F769" t="s">
        <v>50</v>
      </c>
      <c r="G769" t="s">
        <v>36</v>
      </c>
      <c r="H769" t="str">
        <f>INDEX(Table1[Diagnosis],MATCH(I769,'codeand diagnosis'!$A$2:$A$11,0))</f>
        <v>Gingivitis</v>
      </c>
      <c r="I769" t="s">
        <v>27</v>
      </c>
      <c r="J769" t="str">
        <f>INDEX(Table1[ICD-10 Code],MATCH(Table2[[#This Row],[Treatment]],Table1[Treatment Type],0))</f>
        <v>K05.10</v>
      </c>
      <c r="K769" t="s">
        <v>28</v>
      </c>
      <c r="L769" t="s">
        <v>38</v>
      </c>
      <c r="M769" t="s">
        <v>29</v>
      </c>
      <c r="N769">
        <f>Table2[[#This Row],[Total Paid]]+Table2[[#This Row],[Due]]</f>
        <v>260.39999999999998</v>
      </c>
      <c r="O769">
        <v>434</v>
      </c>
      <c r="P769">
        <v>0</v>
      </c>
      <c r="Q769">
        <v>0</v>
      </c>
      <c r="R769">
        <v>0</v>
      </c>
      <c r="S769">
        <v>173.6</v>
      </c>
      <c r="T769">
        <v>260.39999999999998</v>
      </c>
      <c r="U769">
        <v>0</v>
      </c>
      <c r="V769">
        <v>260.39999999999998</v>
      </c>
      <c r="W769" t="s">
        <v>42</v>
      </c>
      <c r="X769" s="6" t="s">
        <v>1179</v>
      </c>
    </row>
    <row r="770" spans="1:24" hidden="1" x14ac:dyDescent="0.25">
      <c r="A770" t="s">
        <v>1192</v>
      </c>
      <c r="B770" t="s">
        <v>144</v>
      </c>
      <c r="C770" t="s">
        <v>24</v>
      </c>
      <c r="D770">
        <v>72</v>
      </c>
      <c r="E770" t="s">
        <v>1193</v>
      </c>
      <c r="F770" t="s">
        <v>88</v>
      </c>
      <c r="G770" t="s">
        <v>26</v>
      </c>
      <c r="H770" t="str">
        <f>INDEX(Table1[Diagnosis],MATCH(I770,'codeand diagnosis'!$A$2:$A$11,0))</f>
        <v>Dental examination</v>
      </c>
      <c r="I770" t="s">
        <v>45</v>
      </c>
      <c r="J770" t="str">
        <f>INDEX(Table1[ICD-10 Code],MATCH(Table2[[#This Row],[Treatment]],Table1[Treatment Type],0))</f>
        <v>Z01.2</v>
      </c>
      <c r="K770" t="s">
        <v>28</v>
      </c>
      <c r="L770" t="s">
        <v>28</v>
      </c>
      <c r="M770" t="s">
        <v>29</v>
      </c>
      <c r="N770">
        <f>Table2[[#This Row],[Total Paid]]+Table2[[#This Row],[Due]]</f>
        <v>120</v>
      </c>
      <c r="O770">
        <v>0</v>
      </c>
      <c r="P770">
        <v>0</v>
      </c>
      <c r="Q770">
        <v>200</v>
      </c>
      <c r="R770">
        <v>0</v>
      </c>
      <c r="S770">
        <v>80</v>
      </c>
      <c r="T770">
        <v>120</v>
      </c>
      <c r="U770">
        <v>0</v>
      </c>
      <c r="V770">
        <v>120</v>
      </c>
      <c r="W770" t="s">
        <v>42</v>
      </c>
      <c r="X770" s="6" t="s">
        <v>1179</v>
      </c>
    </row>
    <row r="771" spans="1:24" hidden="1" x14ac:dyDescent="0.25">
      <c r="A771" t="s">
        <v>1194</v>
      </c>
      <c r="B771" t="s">
        <v>194</v>
      </c>
      <c r="C771" t="s">
        <v>34</v>
      </c>
      <c r="D771">
        <v>24</v>
      </c>
      <c r="E771" t="s">
        <v>1193</v>
      </c>
      <c r="F771" t="s">
        <v>50</v>
      </c>
      <c r="G771" t="s">
        <v>26</v>
      </c>
      <c r="H771" t="str">
        <f>INDEX(Table1[Diagnosis],MATCH(I771,'codeand diagnosis'!$A$2:$A$11,0))</f>
        <v>Dental examination</v>
      </c>
      <c r="I771" t="s">
        <v>45</v>
      </c>
      <c r="J771" t="str">
        <f>INDEX(Table1[ICD-10 Code],MATCH(Table2[[#This Row],[Treatment]],Table1[Treatment Type],0))</f>
        <v>Z01.2</v>
      </c>
      <c r="K771" t="s">
        <v>38</v>
      </c>
      <c r="L771" t="s">
        <v>28</v>
      </c>
      <c r="M771" t="s">
        <v>29</v>
      </c>
      <c r="N771">
        <f>Table2[[#This Row],[Total Paid]]+Table2[[#This Row],[Due]]</f>
        <v>0</v>
      </c>
      <c r="O771">
        <v>0</v>
      </c>
      <c r="P771">
        <v>0</v>
      </c>
      <c r="Q771">
        <v>0</v>
      </c>
      <c r="R771">
        <v>0</v>
      </c>
      <c r="S771">
        <v>0</v>
      </c>
      <c r="T771">
        <v>0</v>
      </c>
      <c r="U771">
        <v>0</v>
      </c>
      <c r="V771">
        <v>0</v>
      </c>
      <c r="W771" t="s">
        <v>47</v>
      </c>
      <c r="X771" s="6" t="s">
        <v>1179</v>
      </c>
    </row>
    <row r="772" spans="1:24" hidden="1" x14ac:dyDescent="0.25">
      <c r="A772" t="s">
        <v>1195</v>
      </c>
      <c r="B772" t="s">
        <v>431</v>
      </c>
      <c r="C772" t="s">
        <v>34</v>
      </c>
      <c r="D772">
        <v>27</v>
      </c>
      <c r="E772" t="s">
        <v>1196</v>
      </c>
      <c r="F772" t="s">
        <v>35</v>
      </c>
      <c r="G772" t="s">
        <v>26</v>
      </c>
      <c r="H772" t="str">
        <f>INDEX(Table1[Diagnosis],MATCH(I772,'codeand diagnosis'!$A$2:$A$11,0))</f>
        <v>Dental examination</v>
      </c>
      <c r="I772" t="s">
        <v>45</v>
      </c>
      <c r="J772" t="str">
        <f>INDEX(Table1[ICD-10 Code],MATCH(Table2[[#This Row],[Treatment]],Table1[Treatment Type],0))</f>
        <v>Z01.2</v>
      </c>
      <c r="K772" t="s">
        <v>28</v>
      </c>
      <c r="L772" t="s">
        <v>28</v>
      </c>
      <c r="M772" t="s">
        <v>29</v>
      </c>
      <c r="N772">
        <f>Table2[[#This Row],[Total Paid]]+Table2[[#This Row],[Due]]</f>
        <v>200</v>
      </c>
      <c r="O772">
        <v>0</v>
      </c>
      <c r="P772">
        <v>0</v>
      </c>
      <c r="Q772">
        <v>200</v>
      </c>
      <c r="R772">
        <v>0</v>
      </c>
      <c r="S772">
        <v>0</v>
      </c>
      <c r="T772">
        <v>200</v>
      </c>
      <c r="U772">
        <v>0</v>
      </c>
      <c r="V772">
        <v>200</v>
      </c>
      <c r="W772" t="s">
        <v>42</v>
      </c>
      <c r="X772" s="6" t="s">
        <v>1179</v>
      </c>
    </row>
    <row r="773" spans="1:24" hidden="1" x14ac:dyDescent="0.25">
      <c r="A773" t="s">
        <v>1197</v>
      </c>
      <c r="B773" t="s">
        <v>159</v>
      </c>
      <c r="C773" t="s">
        <v>24</v>
      </c>
      <c r="D773">
        <v>11</v>
      </c>
      <c r="E773" t="s">
        <v>1196</v>
      </c>
      <c r="F773" t="s">
        <v>35</v>
      </c>
      <c r="G773" t="s">
        <v>26</v>
      </c>
      <c r="H773" t="str">
        <f>INDEX(Table1[Diagnosis],MATCH(I773,'codeand diagnosis'!$A$2:$A$11,0))</f>
        <v>Dental examination</v>
      </c>
      <c r="I773" t="s">
        <v>45</v>
      </c>
      <c r="J773" t="str">
        <f>INDEX(Table1[ICD-10 Code],MATCH(Table2[[#This Row],[Treatment]],Table1[Treatment Type],0))</f>
        <v>Z01.2</v>
      </c>
      <c r="K773" t="s">
        <v>28</v>
      </c>
      <c r="L773" t="s">
        <v>28</v>
      </c>
      <c r="M773" t="s">
        <v>29</v>
      </c>
      <c r="N773">
        <f>Table2[[#This Row],[Total Paid]]+Table2[[#This Row],[Due]]</f>
        <v>120</v>
      </c>
      <c r="O773">
        <v>0</v>
      </c>
      <c r="P773">
        <v>0</v>
      </c>
      <c r="Q773">
        <v>200</v>
      </c>
      <c r="R773">
        <v>0</v>
      </c>
      <c r="S773">
        <v>80</v>
      </c>
      <c r="T773">
        <v>120</v>
      </c>
      <c r="U773">
        <v>0</v>
      </c>
      <c r="V773">
        <v>120</v>
      </c>
      <c r="W773" t="s">
        <v>30</v>
      </c>
      <c r="X773" s="6" t="s">
        <v>1179</v>
      </c>
    </row>
    <row r="774" spans="1:24" hidden="1" x14ac:dyDescent="0.25">
      <c r="A774" t="s">
        <v>1198</v>
      </c>
      <c r="B774" t="s">
        <v>211</v>
      </c>
      <c r="C774" t="s">
        <v>34</v>
      </c>
      <c r="D774">
        <v>17</v>
      </c>
      <c r="E774" t="s">
        <v>1199</v>
      </c>
      <c r="F774" t="s">
        <v>35</v>
      </c>
      <c r="G774" t="s">
        <v>26</v>
      </c>
      <c r="H774" t="str">
        <f>INDEX(Table1[Diagnosis],MATCH(I774,'codeand diagnosis'!$A$2:$A$11,0))</f>
        <v>Dental examination</v>
      </c>
      <c r="I774" t="s">
        <v>45</v>
      </c>
      <c r="J774" t="str">
        <f>INDEX(Table1[ICD-10 Code],MATCH(Table2[[#This Row],[Treatment]],Table1[Treatment Type],0))</f>
        <v>Z01.2</v>
      </c>
      <c r="K774" t="s">
        <v>28</v>
      </c>
      <c r="L774" t="s">
        <v>28</v>
      </c>
      <c r="M774" t="s">
        <v>29</v>
      </c>
      <c r="N774">
        <f>Table2[[#This Row],[Total Paid]]+Table2[[#This Row],[Due]]</f>
        <v>150</v>
      </c>
      <c r="O774">
        <v>0</v>
      </c>
      <c r="P774">
        <v>0</v>
      </c>
      <c r="Q774">
        <v>200</v>
      </c>
      <c r="R774">
        <v>0</v>
      </c>
      <c r="S774">
        <v>50</v>
      </c>
      <c r="T774">
        <v>150</v>
      </c>
      <c r="U774">
        <v>0</v>
      </c>
      <c r="V774">
        <v>150</v>
      </c>
      <c r="W774" t="s">
        <v>42</v>
      </c>
      <c r="X774" s="6" t="s">
        <v>1179</v>
      </c>
    </row>
    <row r="775" spans="1:24" hidden="1" x14ac:dyDescent="0.25">
      <c r="A775" t="s">
        <v>1200</v>
      </c>
      <c r="B775" t="s">
        <v>161</v>
      </c>
      <c r="C775" t="s">
        <v>24</v>
      </c>
      <c r="D775">
        <v>46</v>
      </c>
      <c r="E775" t="s">
        <v>1199</v>
      </c>
      <c r="F775" t="s">
        <v>35</v>
      </c>
      <c r="G775" t="s">
        <v>26</v>
      </c>
      <c r="H775" t="str">
        <f>INDEX(Table1[Diagnosis],MATCH(I775,'codeand diagnosis'!$A$2:$A$11,0))</f>
        <v>Dental examination with radiology</v>
      </c>
      <c r="I775" t="s">
        <v>37</v>
      </c>
      <c r="J775" t="str">
        <f>INDEX(Table1[ICD-10 Code],MATCH(Table2[[#This Row],[Treatment]],Table1[Treatment Type],0))</f>
        <v>Z01.2</v>
      </c>
      <c r="K775" t="s">
        <v>28</v>
      </c>
      <c r="L775" t="s">
        <v>38</v>
      </c>
      <c r="M775" t="s">
        <v>29</v>
      </c>
      <c r="N775">
        <f>Table2[[#This Row],[Total Paid]]+Table2[[#This Row],[Due]]</f>
        <v>350</v>
      </c>
      <c r="O775">
        <v>0</v>
      </c>
      <c r="P775">
        <v>150</v>
      </c>
      <c r="Q775">
        <v>200</v>
      </c>
      <c r="R775">
        <v>0</v>
      </c>
      <c r="S775">
        <v>0</v>
      </c>
      <c r="T775">
        <v>350</v>
      </c>
      <c r="U775">
        <v>0</v>
      </c>
      <c r="V775">
        <v>350</v>
      </c>
      <c r="W775" t="s">
        <v>51</v>
      </c>
      <c r="X775" s="6" t="s">
        <v>1179</v>
      </c>
    </row>
    <row r="776" spans="1:24" hidden="1" x14ac:dyDescent="0.25">
      <c r="A776" t="s">
        <v>1201</v>
      </c>
      <c r="B776" t="s">
        <v>197</v>
      </c>
      <c r="C776" t="s">
        <v>24</v>
      </c>
      <c r="D776">
        <v>15</v>
      </c>
      <c r="E776" t="s">
        <v>1202</v>
      </c>
      <c r="F776" t="s">
        <v>35</v>
      </c>
      <c r="G776" t="s">
        <v>26</v>
      </c>
      <c r="H776" t="str">
        <f>INDEX(Table1[Diagnosis],MATCH(I776,'codeand diagnosis'!$A$2:$A$11,0))</f>
        <v>Dental examination with radiology</v>
      </c>
      <c r="I776" t="s">
        <v>37</v>
      </c>
      <c r="J776" t="str">
        <f>INDEX(Table1[ICD-10 Code],MATCH(Table2[[#This Row],[Treatment]],Table1[Treatment Type],0))</f>
        <v>Z01.2</v>
      </c>
      <c r="K776" t="s">
        <v>28</v>
      </c>
      <c r="L776" t="s">
        <v>38</v>
      </c>
      <c r="M776" t="s">
        <v>46</v>
      </c>
      <c r="N776">
        <f>Table2[[#This Row],[Total Paid]]+Table2[[#This Row],[Due]]</f>
        <v>350</v>
      </c>
      <c r="O776">
        <v>0</v>
      </c>
      <c r="P776">
        <v>150</v>
      </c>
      <c r="Q776">
        <v>200</v>
      </c>
      <c r="R776">
        <v>0</v>
      </c>
      <c r="S776">
        <v>0</v>
      </c>
      <c r="T776">
        <v>350</v>
      </c>
      <c r="U776">
        <v>0</v>
      </c>
      <c r="V776">
        <v>350</v>
      </c>
      <c r="W776" t="s">
        <v>42</v>
      </c>
      <c r="X776" s="6" t="s">
        <v>1179</v>
      </c>
    </row>
    <row r="777" spans="1:24" hidden="1" x14ac:dyDescent="0.25">
      <c r="A777" t="s">
        <v>1203</v>
      </c>
      <c r="B777" t="s">
        <v>611</v>
      </c>
      <c r="C777" t="s">
        <v>34</v>
      </c>
      <c r="D777">
        <v>64</v>
      </c>
      <c r="E777" t="s">
        <v>1202</v>
      </c>
      <c r="F777" t="s">
        <v>168</v>
      </c>
      <c r="G777" t="s">
        <v>36</v>
      </c>
      <c r="H777" t="str">
        <f>INDEX(Table1[Diagnosis],MATCH(I777,'codeand diagnosis'!$A$2:$A$11,0))</f>
        <v>Dental examination</v>
      </c>
      <c r="I777" t="s">
        <v>45</v>
      </c>
      <c r="J777" t="str">
        <f>INDEX(Table1[ICD-10 Code],MATCH(Table2[[#This Row],[Treatment]],Table1[Treatment Type],0))</f>
        <v>Z01.2</v>
      </c>
      <c r="K777" t="s">
        <v>38</v>
      </c>
      <c r="L777" t="s">
        <v>28</v>
      </c>
      <c r="M777" t="s">
        <v>29</v>
      </c>
      <c r="N777">
        <f>Table2[[#This Row],[Total Paid]]+Table2[[#This Row],[Due]]</f>
        <v>0</v>
      </c>
      <c r="O777">
        <v>0</v>
      </c>
      <c r="P777">
        <v>0</v>
      </c>
      <c r="Q777">
        <v>0</v>
      </c>
      <c r="R777">
        <v>0</v>
      </c>
      <c r="S777">
        <v>0</v>
      </c>
      <c r="T777">
        <v>0</v>
      </c>
      <c r="U777">
        <v>0</v>
      </c>
      <c r="V777">
        <v>0</v>
      </c>
      <c r="W777" t="s">
        <v>30</v>
      </c>
      <c r="X777" s="6" t="s">
        <v>1179</v>
      </c>
    </row>
    <row r="778" spans="1:24" hidden="1" x14ac:dyDescent="0.25">
      <c r="A778" t="s">
        <v>1204</v>
      </c>
      <c r="B778" t="s">
        <v>94</v>
      </c>
      <c r="C778" t="s">
        <v>24</v>
      </c>
      <c r="D778">
        <v>8</v>
      </c>
      <c r="E778" t="s">
        <v>1205</v>
      </c>
      <c r="F778" t="s">
        <v>50</v>
      </c>
      <c r="G778" t="s">
        <v>26</v>
      </c>
      <c r="H778" t="str">
        <f>INDEX(Table1[Diagnosis],MATCH(I778,'codeand diagnosis'!$A$2:$A$11,0))</f>
        <v>Dental examination</v>
      </c>
      <c r="I778" t="s">
        <v>45</v>
      </c>
      <c r="J778" t="str">
        <f>INDEX(Table1[ICD-10 Code],MATCH(Table2[[#This Row],[Treatment]],Table1[Treatment Type],0))</f>
        <v>Z01.2</v>
      </c>
      <c r="K778" t="s">
        <v>28</v>
      </c>
      <c r="L778" t="s">
        <v>28</v>
      </c>
      <c r="M778" t="s">
        <v>29</v>
      </c>
      <c r="N778">
        <f>Table2[[#This Row],[Total Paid]]+Table2[[#This Row],[Due]]</f>
        <v>200</v>
      </c>
      <c r="O778">
        <v>0</v>
      </c>
      <c r="P778">
        <v>0</v>
      </c>
      <c r="Q778">
        <v>200</v>
      </c>
      <c r="R778">
        <v>0</v>
      </c>
      <c r="S778">
        <v>0</v>
      </c>
      <c r="T778">
        <v>200</v>
      </c>
      <c r="U778">
        <v>0</v>
      </c>
      <c r="V778">
        <v>200</v>
      </c>
      <c r="W778" t="s">
        <v>30</v>
      </c>
      <c r="X778" s="6" t="s">
        <v>1179</v>
      </c>
    </row>
    <row r="779" spans="1:24" hidden="1" x14ac:dyDescent="0.25">
      <c r="A779" t="s">
        <v>1206</v>
      </c>
      <c r="B779" t="s">
        <v>520</v>
      </c>
      <c r="C779" t="s">
        <v>34</v>
      </c>
      <c r="D779">
        <v>51</v>
      </c>
      <c r="E779" t="s">
        <v>1205</v>
      </c>
      <c r="F779" t="s">
        <v>88</v>
      </c>
      <c r="G779" t="s">
        <v>26</v>
      </c>
      <c r="H779" t="str">
        <f>INDEX(Table1[Diagnosis],MATCH(I779,'codeand diagnosis'!$A$2:$A$11,0))</f>
        <v>Dental examination</v>
      </c>
      <c r="I779" t="s">
        <v>45</v>
      </c>
      <c r="J779" t="str">
        <f>INDEX(Table1[ICD-10 Code],MATCH(Table2[[#This Row],[Treatment]],Table1[Treatment Type],0))</f>
        <v>Z01.2</v>
      </c>
      <c r="K779" t="s">
        <v>28</v>
      </c>
      <c r="L779" t="s">
        <v>28</v>
      </c>
      <c r="M779" t="s">
        <v>29</v>
      </c>
      <c r="N779">
        <f>Table2[[#This Row],[Total Paid]]+Table2[[#This Row],[Due]]</f>
        <v>200</v>
      </c>
      <c r="O779">
        <v>0</v>
      </c>
      <c r="P779">
        <v>0</v>
      </c>
      <c r="Q779">
        <v>200</v>
      </c>
      <c r="R779">
        <v>0</v>
      </c>
      <c r="S779">
        <v>0</v>
      </c>
      <c r="T779">
        <v>200</v>
      </c>
      <c r="U779">
        <v>0</v>
      </c>
      <c r="V779">
        <v>200</v>
      </c>
      <c r="W779" t="s">
        <v>42</v>
      </c>
      <c r="X779" s="6" t="s">
        <v>1179</v>
      </c>
    </row>
    <row r="780" spans="1:24" hidden="1" x14ac:dyDescent="0.25">
      <c r="A780" t="s">
        <v>1207</v>
      </c>
      <c r="B780" t="s">
        <v>57</v>
      </c>
      <c r="C780" t="s">
        <v>24</v>
      </c>
      <c r="D780">
        <v>47</v>
      </c>
      <c r="E780" t="s">
        <v>1208</v>
      </c>
      <c r="F780" t="s">
        <v>35</v>
      </c>
      <c r="G780" t="s">
        <v>36</v>
      </c>
      <c r="H780" t="str">
        <f>INDEX(Table1[Diagnosis],MATCH(I780,'codeand diagnosis'!$A$2:$A$11,0))</f>
        <v>Dental examination with radiology</v>
      </c>
      <c r="I780" t="s">
        <v>37</v>
      </c>
      <c r="J780" t="str">
        <f>INDEX(Table1[ICD-10 Code],MATCH(Table2[[#This Row],[Treatment]],Table1[Treatment Type],0))</f>
        <v>Z01.2</v>
      </c>
      <c r="K780" t="s">
        <v>38</v>
      </c>
      <c r="L780" t="s">
        <v>38</v>
      </c>
      <c r="M780" t="s">
        <v>29</v>
      </c>
      <c r="N780">
        <f>Table2[[#This Row],[Total Paid]]+Table2[[#This Row],[Due]]</f>
        <v>150</v>
      </c>
      <c r="O780">
        <v>0</v>
      </c>
      <c r="P780">
        <v>150</v>
      </c>
      <c r="Q780">
        <v>0</v>
      </c>
      <c r="R780">
        <v>0</v>
      </c>
      <c r="S780">
        <v>0</v>
      </c>
      <c r="T780">
        <v>150</v>
      </c>
      <c r="U780">
        <v>0</v>
      </c>
      <c r="V780">
        <v>150</v>
      </c>
      <c r="W780" t="s">
        <v>51</v>
      </c>
      <c r="X780" s="6" t="s">
        <v>1179</v>
      </c>
    </row>
    <row r="781" spans="1:24" hidden="1" x14ac:dyDescent="0.25">
      <c r="A781" t="s">
        <v>1209</v>
      </c>
      <c r="B781" t="s">
        <v>294</v>
      </c>
      <c r="C781" t="s">
        <v>34</v>
      </c>
      <c r="D781">
        <v>59</v>
      </c>
      <c r="E781" t="s">
        <v>1208</v>
      </c>
      <c r="F781" t="s">
        <v>25</v>
      </c>
      <c r="G781" t="s">
        <v>36</v>
      </c>
      <c r="H781" t="str">
        <f>INDEX(Table1[Diagnosis],MATCH(I781,'codeand diagnosis'!$A$2:$A$11,0))</f>
        <v>Retained dental root</v>
      </c>
      <c r="I781" t="s">
        <v>145</v>
      </c>
      <c r="J781" t="str">
        <f>INDEX(Table1[ICD-10 Code],MATCH(Table2[[#This Row],[Treatment]],Table1[Treatment Type],0))</f>
        <v>K08.3</v>
      </c>
      <c r="K781" t="s">
        <v>38</v>
      </c>
      <c r="L781" t="s">
        <v>38</v>
      </c>
      <c r="M781" t="s">
        <v>29</v>
      </c>
      <c r="N781">
        <f>Table2[[#This Row],[Total Paid]]+Table2[[#This Row],[Due]]</f>
        <v>3361</v>
      </c>
      <c r="O781">
        <v>3361</v>
      </c>
      <c r="P781">
        <v>0</v>
      </c>
      <c r="Q781">
        <v>0</v>
      </c>
      <c r="R781">
        <v>1120</v>
      </c>
      <c r="S781">
        <v>0</v>
      </c>
      <c r="T781">
        <v>3361</v>
      </c>
      <c r="U781">
        <v>0</v>
      </c>
      <c r="V781">
        <v>2241</v>
      </c>
      <c r="W781" t="s">
        <v>47</v>
      </c>
      <c r="X781" s="6" t="s">
        <v>1179</v>
      </c>
    </row>
    <row r="782" spans="1:24" hidden="1" x14ac:dyDescent="0.25">
      <c r="A782" t="s">
        <v>1210</v>
      </c>
      <c r="B782" t="s">
        <v>128</v>
      </c>
      <c r="C782" t="s">
        <v>24</v>
      </c>
      <c r="D782">
        <v>49</v>
      </c>
      <c r="E782" t="s">
        <v>1211</v>
      </c>
      <c r="F782" t="s">
        <v>88</v>
      </c>
      <c r="G782" t="s">
        <v>36</v>
      </c>
      <c r="H782" t="str">
        <f>INDEX(Table1[Diagnosis],MATCH(I782,'codeand diagnosis'!$A$2:$A$11,0))</f>
        <v>Dental examination with radiology</v>
      </c>
      <c r="I782" t="s">
        <v>37</v>
      </c>
      <c r="J782" t="str">
        <f>INDEX(Table1[ICD-10 Code],MATCH(Table2[[#This Row],[Treatment]],Table1[Treatment Type],0))</f>
        <v>Z01.2</v>
      </c>
      <c r="K782" t="s">
        <v>28</v>
      </c>
      <c r="L782" t="s">
        <v>38</v>
      </c>
      <c r="M782" t="s">
        <v>29</v>
      </c>
      <c r="N782">
        <f>Table2[[#This Row],[Total Paid]]+Table2[[#This Row],[Due]]</f>
        <v>210</v>
      </c>
      <c r="O782">
        <v>0</v>
      </c>
      <c r="P782">
        <v>150</v>
      </c>
      <c r="Q782">
        <v>200</v>
      </c>
      <c r="R782">
        <v>0</v>
      </c>
      <c r="S782">
        <v>140</v>
      </c>
      <c r="T782">
        <v>210</v>
      </c>
      <c r="U782">
        <v>0</v>
      </c>
      <c r="V782">
        <v>210</v>
      </c>
      <c r="W782" t="s">
        <v>51</v>
      </c>
      <c r="X782" s="6" t="s">
        <v>1179</v>
      </c>
    </row>
    <row r="783" spans="1:24" hidden="1" x14ac:dyDescent="0.25">
      <c r="A783" t="s">
        <v>1212</v>
      </c>
      <c r="B783" t="s">
        <v>186</v>
      </c>
      <c r="C783" t="s">
        <v>34</v>
      </c>
      <c r="D783">
        <v>23</v>
      </c>
      <c r="E783" t="s">
        <v>1213</v>
      </c>
      <c r="F783" t="s">
        <v>50</v>
      </c>
      <c r="G783" t="s">
        <v>26</v>
      </c>
      <c r="H783" t="str">
        <f>INDEX(Table1[Diagnosis],MATCH(I783,'codeand diagnosis'!$A$2:$A$11,0))</f>
        <v>Dental examination</v>
      </c>
      <c r="I783" t="s">
        <v>45</v>
      </c>
      <c r="J783" t="str">
        <f>INDEX(Table1[ICD-10 Code],MATCH(Table2[[#This Row],[Treatment]],Table1[Treatment Type],0))</f>
        <v>Z01.2</v>
      </c>
      <c r="K783" t="s">
        <v>28</v>
      </c>
      <c r="L783" t="s">
        <v>28</v>
      </c>
      <c r="M783" t="s">
        <v>61</v>
      </c>
      <c r="N783">
        <f>Table2[[#This Row],[Total Paid]]+Table2[[#This Row],[Due]]</f>
        <v>200</v>
      </c>
      <c r="O783">
        <v>0</v>
      </c>
      <c r="P783">
        <v>0</v>
      </c>
      <c r="Q783">
        <v>200</v>
      </c>
      <c r="R783">
        <v>0</v>
      </c>
      <c r="S783">
        <v>0</v>
      </c>
      <c r="T783">
        <v>200</v>
      </c>
      <c r="U783">
        <v>0</v>
      </c>
      <c r="V783">
        <v>200</v>
      </c>
      <c r="W783" t="s">
        <v>51</v>
      </c>
      <c r="X783" s="6" t="s">
        <v>1179</v>
      </c>
    </row>
    <row r="784" spans="1:24" hidden="1" x14ac:dyDescent="0.25">
      <c r="A784" t="s">
        <v>1214</v>
      </c>
      <c r="B784" t="s">
        <v>180</v>
      </c>
      <c r="C784" t="s">
        <v>24</v>
      </c>
      <c r="D784">
        <v>34</v>
      </c>
      <c r="E784" s="1">
        <v>45301</v>
      </c>
      <c r="F784" t="s">
        <v>50</v>
      </c>
      <c r="G784" t="s">
        <v>26</v>
      </c>
      <c r="H784" t="str">
        <f>INDEX(Table1[Diagnosis],MATCH(I784,'codeand diagnosis'!$A$2:$A$11,0))</f>
        <v>Dental examination with radiology</v>
      </c>
      <c r="I784" t="s">
        <v>37</v>
      </c>
      <c r="J784" t="str">
        <f>INDEX(Table1[ICD-10 Code],MATCH(Table2[[#This Row],[Treatment]],Table1[Treatment Type],0))</f>
        <v>Z01.2</v>
      </c>
      <c r="K784" t="s">
        <v>28</v>
      </c>
      <c r="L784" t="s">
        <v>38</v>
      </c>
      <c r="M784" t="s">
        <v>29</v>
      </c>
      <c r="N784">
        <f>Table2[[#This Row],[Total Paid]]+Table2[[#This Row],[Due]]</f>
        <v>350</v>
      </c>
      <c r="O784">
        <v>0</v>
      </c>
      <c r="P784">
        <v>150</v>
      </c>
      <c r="Q784">
        <v>200</v>
      </c>
      <c r="R784">
        <v>0</v>
      </c>
      <c r="S784">
        <v>0</v>
      </c>
      <c r="T784">
        <v>350</v>
      </c>
      <c r="U784">
        <v>0</v>
      </c>
      <c r="V784">
        <v>350</v>
      </c>
      <c r="W784" t="s">
        <v>42</v>
      </c>
      <c r="X784" s="6" t="s">
        <v>1215</v>
      </c>
    </row>
    <row r="785" spans="1:24" hidden="1" x14ac:dyDescent="0.25">
      <c r="A785" t="s">
        <v>1216</v>
      </c>
      <c r="B785" t="s">
        <v>211</v>
      </c>
      <c r="C785" t="s">
        <v>34</v>
      </c>
      <c r="D785">
        <v>37</v>
      </c>
      <c r="E785" s="1">
        <v>45332</v>
      </c>
      <c r="F785" t="s">
        <v>50</v>
      </c>
      <c r="G785" t="s">
        <v>26</v>
      </c>
      <c r="H785" t="str">
        <f>INDEX(Table1[Diagnosis],MATCH(I785,'codeand diagnosis'!$A$2:$A$11,0))</f>
        <v>Dental examination with radiology</v>
      </c>
      <c r="I785" t="s">
        <v>37</v>
      </c>
      <c r="J785" t="str">
        <f>INDEX(Table1[ICD-10 Code],MATCH(Table2[[#This Row],[Treatment]],Table1[Treatment Type],0))</f>
        <v>Z01.2</v>
      </c>
      <c r="K785" t="s">
        <v>28</v>
      </c>
      <c r="L785" t="s">
        <v>38</v>
      </c>
      <c r="M785" t="s">
        <v>29</v>
      </c>
      <c r="N785">
        <f>Table2[[#This Row],[Total Paid]]+Table2[[#This Row],[Due]]</f>
        <v>210</v>
      </c>
      <c r="O785">
        <v>0</v>
      </c>
      <c r="P785">
        <v>150</v>
      </c>
      <c r="Q785">
        <v>200</v>
      </c>
      <c r="R785">
        <v>0</v>
      </c>
      <c r="S785">
        <v>140</v>
      </c>
      <c r="T785">
        <v>210</v>
      </c>
      <c r="U785">
        <v>0</v>
      </c>
      <c r="V785">
        <v>210</v>
      </c>
      <c r="W785" t="s">
        <v>51</v>
      </c>
      <c r="X785" s="6" t="s">
        <v>1215</v>
      </c>
    </row>
    <row r="786" spans="1:24" hidden="1" x14ac:dyDescent="0.25">
      <c r="A786" t="s">
        <v>1217</v>
      </c>
      <c r="B786" t="s">
        <v>70</v>
      </c>
      <c r="C786" t="s">
        <v>24</v>
      </c>
      <c r="D786">
        <v>35</v>
      </c>
      <c r="E786" s="1">
        <v>45361</v>
      </c>
      <c r="F786" t="s">
        <v>259</v>
      </c>
      <c r="G786" t="s">
        <v>26</v>
      </c>
      <c r="H786" t="str">
        <f>INDEX(Table1[Diagnosis],MATCH(I786,'codeand diagnosis'!$A$2:$A$11,0))</f>
        <v>Dental examination with radiology</v>
      </c>
      <c r="I786" t="s">
        <v>37</v>
      </c>
      <c r="J786" t="str">
        <f>INDEX(Table1[ICD-10 Code],MATCH(Table2[[#This Row],[Treatment]],Table1[Treatment Type],0))</f>
        <v>Z01.2</v>
      </c>
      <c r="K786" t="s">
        <v>28</v>
      </c>
      <c r="L786" t="s">
        <v>38</v>
      </c>
      <c r="M786" t="s">
        <v>29</v>
      </c>
      <c r="N786">
        <f>Table2[[#This Row],[Total Paid]]+Table2[[#This Row],[Due]]</f>
        <v>350</v>
      </c>
      <c r="O786">
        <v>0</v>
      </c>
      <c r="P786">
        <v>150</v>
      </c>
      <c r="Q786">
        <v>200</v>
      </c>
      <c r="R786">
        <v>0</v>
      </c>
      <c r="S786">
        <v>0</v>
      </c>
      <c r="T786">
        <v>350</v>
      </c>
      <c r="U786">
        <v>0</v>
      </c>
      <c r="V786">
        <v>350</v>
      </c>
      <c r="W786" t="s">
        <v>51</v>
      </c>
      <c r="X786" s="6" t="s">
        <v>1215</v>
      </c>
    </row>
    <row r="787" spans="1:24" hidden="1" x14ac:dyDescent="0.25">
      <c r="A787" t="s">
        <v>1218</v>
      </c>
      <c r="B787" t="s">
        <v>224</v>
      </c>
      <c r="C787" t="s">
        <v>34</v>
      </c>
      <c r="D787">
        <v>60</v>
      </c>
      <c r="E787" s="1">
        <v>45361</v>
      </c>
      <c r="F787" t="s">
        <v>35</v>
      </c>
      <c r="G787" t="s">
        <v>36</v>
      </c>
      <c r="H787" t="str">
        <f>INDEX(Table1[Diagnosis],MATCH(I787,'codeand diagnosis'!$A$2:$A$11,0))</f>
        <v>Loss of teeth</v>
      </c>
      <c r="I787" t="s">
        <v>68</v>
      </c>
      <c r="J787" t="str">
        <f>INDEX(Table1[ICD-10 Code],MATCH(Table2[[#This Row],[Treatment]],Table1[Treatment Type],0))</f>
        <v>K08.1</v>
      </c>
      <c r="K787" t="s">
        <v>28</v>
      </c>
      <c r="L787" t="s">
        <v>38</v>
      </c>
      <c r="M787" t="s">
        <v>29</v>
      </c>
      <c r="N787">
        <f>Table2[[#This Row],[Total Paid]]+Table2[[#This Row],[Due]]</f>
        <v>745</v>
      </c>
      <c r="O787">
        <v>795</v>
      </c>
      <c r="P787">
        <v>0</v>
      </c>
      <c r="Q787">
        <v>0</v>
      </c>
      <c r="R787">
        <v>0</v>
      </c>
      <c r="S787">
        <v>50</v>
      </c>
      <c r="T787">
        <v>745</v>
      </c>
      <c r="U787">
        <v>0</v>
      </c>
      <c r="V787">
        <v>745</v>
      </c>
      <c r="W787" t="s">
        <v>51</v>
      </c>
      <c r="X787" s="6" t="s">
        <v>1215</v>
      </c>
    </row>
    <row r="788" spans="1:24" hidden="1" x14ac:dyDescent="0.25">
      <c r="A788" t="s">
        <v>1219</v>
      </c>
      <c r="B788" t="s">
        <v>171</v>
      </c>
      <c r="C788" t="s">
        <v>24</v>
      </c>
      <c r="D788">
        <v>67</v>
      </c>
      <c r="E788" s="1">
        <v>45361</v>
      </c>
      <c r="F788" t="s">
        <v>104</v>
      </c>
      <c r="G788" t="s">
        <v>36</v>
      </c>
      <c r="H788" t="str">
        <f>INDEX(Table1[Diagnosis],MATCH(I788,'codeand diagnosis'!$A$2:$A$11,0))</f>
        <v>Dental examination</v>
      </c>
      <c r="I788" t="s">
        <v>45</v>
      </c>
      <c r="J788" t="str">
        <f>INDEX(Table1[ICD-10 Code],MATCH(Table2[[#This Row],[Treatment]],Table1[Treatment Type],0))</f>
        <v>Z01.2</v>
      </c>
      <c r="K788" t="s">
        <v>38</v>
      </c>
      <c r="L788" t="s">
        <v>28</v>
      </c>
      <c r="M788" t="s">
        <v>29</v>
      </c>
      <c r="N788">
        <f>Table2[[#This Row],[Total Paid]]+Table2[[#This Row],[Due]]</f>
        <v>0</v>
      </c>
      <c r="O788">
        <v>0</v>
      </c>
      <c r="P788">
        <v>0</v>
      </c>
      <c r="Q788">
        <v>0</v>
      </c>
      <c r="R788">
        <v>0</v>
      </c>
      <c r="S788">
        <v>0</v>
      </c>
      <c r="T788">
        <v>0</v>
      </c>
      <c r="U788">
        <v>0</v>
      </c>
      <c r="V788">
        <v>0</v>
      </c>
      <c r="W788" t="s">
        <v>42</v>
      </c>
      <c r="X788" s="6" t="s">
        <v>1215</v>
      </c>
    </row>
    <row r="789" spans="1:24" hidden="1" x14ac:dyDescent="0.25">
      <c r="A789" t="s">
        <v>1220</v>
      </c>
      <c r="B789" t="s">
        <v>115</v>
      </c>
      <c r="C789" t="s">
        <v>24</v>
      </c>
      <c r="D789">
        <v>79</v>
      </c>
      <c r="E789" s="1">
        <v>45392</v>
      </c>
      <c r="F789" t="s">
        <v>50</v>
      </c>
      <c r="G789" t="s">
        <v>36</v>
      </c>
      <c r="H789" t="str">
        <f>INDEX(Table1[Diagnosis],MATCH(I789,'codeand diagnosis'!$A$2:$A$11,0))</f>
        <v>Dental examination</v>
      </c>
      <c r="I789" t="s">
        <v>45</v>
      </c>
      <c r="J789" t="str">
        <f>INDEX(Table1[ICD-10 Code],MATCH(Table2[[#This Row],[Treatment]],Table1[Treatment Type],0))</f>
        <v>Z01.2</v>
      </c>
      <c r="K789" t="s">
        <v>28</v>
      </c>
      <c r="L789" t="s">
        <v>28</v>
      </c>
      <c r="M789" t="s">
        <v>29</v>
      </c>
      <c r="N789">
        <f>Table2[[#This Row],[Total Paid]]+Table2[[#This Row],[Due]]</f>
        <v>120</v>
      </c>
      <c r="O789">
        <v>0</v>
      </c>
      <c r="P789">
        <v>0</v>
      </c>
      <c r="Q789">
        <v>200</v>
      </c>
      <c r="R789">
        <v>0</v>
      </c>
      <c r="S789">
        <v>80</v>
      </c>
      <c r="T789">
        <v>120</v>
      </c>
      <c r="U789">
        <v>0</v>
      </c>
      <c r="V789">
        <v>120</v>
      </c>
      <c r="W789" t="s">
        <v>51</v>
      </c>
      <c r="X789" s="6" t="s">
        <v>1215</v>
      </c>
    </row>
    <row r="790" spans="1:24" hidden="1" x14ac:dyDescent="0.25">
      <c r="A790" t="s">
        <v>1221</v>
      </c>
      <c r="B790" t="s">
        <v>374</v>
      </c>
      <c r="C790" t="s">
        <v>34</v>
      </c>
      <c r="D790">
        <v>42</v>
      </c>
      <c r="E790" s="1">
        <v>45483</v>
      </c>
      <c r="F790" t="s">
        <v>35</v>
      </c>
      <c r="G790" t="s">
        <v>26</v>
      </c>
      <c r="H790" t="str">
        <f>INDEX(Table1[Diagnosis],MATCH(I790,'codeand diagnosis'!$A$2:$A$11,0))</f>
        <v>Dental examination</v>
      </c>
      <c r="I790" t="s">
        <v>45</v>
      </c>
      <c r="J790" t="str">
        <f>INDEX(Table1[ICD-10 Code],MATCH(Table2[[#This Row],[Treatment]],Table1[Treatment Type],0))</f>
        <v>Z01.2</v>
      </c>
      <c r="K790" t="s">
        <v>38</v>
      </c>
      <c r="L790" t="s">
        <v>28</v>
      </c>
      <c r="M790" t="s">
        <v>29</v>
      </c>
      <c r="N790">
        <f>Table2[[#This Row],[Total Paid]]+Table2[[#This Row],[Due]]</f>
        <v>0</v>
      </c>
      <c r="O790">
        <v>0</v>
      </c>
      <c r="P790">
        <v>0</v>
      </c>
      <c r="Q790">
        <v>0</v>
      </c>
      <c r="R790">
        <v>0</v>
      </c>
      <c r="S790">
        <v>0</v>
      </c>
      <c r="T790">
        <v>0</v>
      </c>
      <c r="U790">
        <v>0</v>
      </c>
      <c r="V790">
        <v>0</v>
      </c>
      <c r="W790" t="s">
        <v>51</v>
      </c>
      <c r="X790" s="6" t="s">
        <v>1215</v>
      </c>
    </row>
    <row r="791" spans="1:24" hidden="1" x14ac:dyDescent="0.25">
      <c r="A791" t="s">
        <v>1222</v>
      </c>
      <c r="B791" t="s">
        <v>211</v>
      </c>
      <c r="C791" t="s">
        <v>34</v>
      </c>
      <c r="D791">
        <v>49</v>
      </c>
      <c r="E791" s="1">
        <v>45483</v>
      </c>
      <c r="F791" t="s">
        <v>104</v>
      </c>
      <c r="G791" t="s">
        <v>36</v>
      </c>
      <c r="H791" t="str">
        <f>INDEX(Table1[Diagnosis],MATCH(I791,'codeand diagnosis'!$A$2:$A$11,0))</f>
        <v>Dental examination</v>
      </c>
      <c r="I791" t="s">
        <v>45</v>
      </c>
      <c r="J791" t="str">
        <f>INDEX(Table1[ICD-10 Code],MATCH(Table2[[#This Row],[Treatment]],Table1[Treatment Type],0))</f>
        <v>Z01.2</v>
      </c>
      <c r="K791" t="s">
        <v>28</v>
      </c>
      <c r="L791" t="s">
        <v>28</v>
      </c>
      <c r="M791" t="s">
        <v>61</v>
      </c>
      <c r="N791">
        <f>Table2[[#This Row],[Total Paid]]+Table2[[#This Row],[Due]]</f>
        <v>120</v>
      </c>
      <c r="O791">
        <v>0</v>
      </c>
      <c r="P791">
        <v>0</v>
      </c>
      <c r="Q791">
        <v>200</v>
      </c>
      <c r="R791">
        <v>0</v>
      </c>
      <c r="S791">
        <v>80</v>
      </c>
      <c r="T791">
        <v>120</v>
      </c>
      <c r="U791">
        <v>0</v>
      </c>
      <c r="V791">
        <v>120</v>
      </c>
      <c r="W791" t="s">
        <v>51</v>
      </c>
      <c r="X791" s="6" t="s">
        <v>1215</v>
      </c>
    </row>
    <row r="792" spans="1:24" hidden="1" x14ac:dyDescent="0.25">
      <c r="A792" t="s">
        <v>1223</v>
      </c>
      <c r="B792" t="s">
        <v>369</v>
      </c>
      <c r="C792" t="s">
        <v>24</v>
      </c>
      <c r="D792">
        <v>17</v>
      </c>
      <c r="E792" s="1">
        <v>45514</v>
      </c>
      <c r="F792" t="s">
        <v>50</v>
      </c>
      <c r="G792" t="s">
        <v>36</v>
      </c>
      <c r="H792" t="str">
        <f>INDEX(Table1[Diagnosis],MATCH(I792,'codeand diagnosis'!$A$2:$A$11,0))</f>
        <v>Dental caries</v>
      </c>
      <c r="I792" t="s">
        <v>41</v>
      </c>
      <c r="J792" t="str">
        <f>INDEX(Table1[ICD-10 Code],MATCH(Table2[[#This Row],[Treatment]],Table1[Treatment Type],0))</f>
        <v>K02.9</v>
      </c>
      <c r="K792" t="s">
        <v>28</v>
      </c>
      <c r="L792" t="s">
        <v>38</v>
      </c>
      <c r="M792" t="s">
        <v>29</v>
      </c>
      <c r="N792">
        <f>Table2[[#This Row],[Total Paid]]+Table2[[#This Row],[Due]]</f>
        <v>1139</v>
      </c>
      <c r="O792">
        <v>1139</v>
      </c>
      <c r="P792">
        <v>0</v>
      </c>
      <c r="Q792">
        <v>0</v>
      </c>
      <c r="R792">
        <v>0</v>
      </c>
      <c r="S792">
        <v>0</v>
      </c>
      <c r="T792">
        <v>1139</v>
      </c>
      <c r="U792">
        <v>0</v>
      </c>
      <c r="V792">
        <v>1139</v>
      </c>
      <c r="W792" t="s">
        <v>51</v>
      </c>
      <c r="X792" s="6" t="s">
        <v>1215</v>
      </c>
    </row>
    <row r="793" spans="1:24" hidden="1" x14ac:dyDescent="0.25">
      <c r="A793" t="s">
        <v>1224</v>
      </c>
      <c r="B793" t="s">
        <v>204</v>
      </c>
      <c r="C793" t="s">
        <v>34</v>
      </c>
      <c r="D793">
        <v>8</v>
      </c>
      <c r="E793" s="1">
        <v>45545</v>
      </c>
      <c r="F793" t="s">
        <v>50</v>
      </c>
      <c r="G793" t="s">
        <v>26</v>
      </c>
      <c r="H793" t="str">
        <f>INDEX(Table1[Diagnosis],MATCH(I793,'codeand diagnosis'!$A$2:$A$11,0))</f>
        <v>Dental examination with radiology</v>
      </c>
      <c r="I793" t="s">
        <v>37</v>
      </c>
      <c r="J793" t="str">
        <f>INDEX(Table1[ICD-10 Code],MATCH(Table2[[#This Row],[Treatment]],Table1[Treatment Type],0))</f>
        <v>Z01.2</v>
      </c>
      <c r="K793" t="s">
        <v>28</v>
      </c>
      <c r="L793" t="s">
        <v>38</v>
      </c>
      <c r="M793" t="s">
        <v>29</v>
      </c>
      <c r="N793">
        <f>Table2[[#This Row],[Total Paid]]+Table2[[#This Row],[Due]]</f>
        <v>210</v>
      </c>
      <c r="O793">
        <v>0</v>
      </c>
      <c r="P793">
        <v>150</v>
      </c>
      <c r="Q793">
        <v>200</v>
      </c>
      <c r="R793">
        <v>0</v>
      </c>
      <c r="S793">
        <v>140</v>
      </c>
      <c r="T793">
        <v>210</v>
      </c>
      <c r="U793">
        <v>0</v>
      </c>
      <c r="V793">
        <v>210</v>
      </c>
      <c r="W793" t="s">
        <v>47</v>
      </c>
      <c r="X793" s="6" t="s">
        <v>1215</v>
      </c>
    </row>
    <row r="794" spans="1:24" hidden="1" x14ac:dyDescent="0.25">
      <c r="A794" t="s">
        <v>1225</v>
      </c>
      <c r="B794" t="s">
        <v>131</v>
      </c>
      <c r="C794" t="s">
        <v>34</v>
      </c>
      <c r="D794">
        <v>41</v>
      </c>
      <c r="E794" s="1">
        <v>45545</v>
      </c>
      <c r="F794" t="s">
        <v>35</v>
      </c>
      <c r="G794" t="s">
        <v>26</v>
      </c>
      <c r="H794" t="str">
        <f>INDEX(Table1[Diagnosis],MATCH(I794,'codeand diagnosis'!$A$2:$A$11,0))</f>
        <v>Missing teeth</v>
      </c>
      <c r="I794" t="s">
        <v>78</v>
      </c>
      <c r="J794" t="str">
        <f>INDEX(Table1[ICD-10 Code],MATCH(Table2[[#This Row],[Treatment]],Table1[Treatment Type],0))</f>
        <v>K08.1</v>
      </c>
      <c r="K794" t="s">
        <v>28</v>
      </c>
      <c r="L794" t="s">
        <v>38</v>
      </c>
      <c r="M794" t="s">
        <v>29</v>
      </c>
      <c r="N794">
        <f>Table2[[#This Row],[Total Paid]]+Table2[[#This Row],[Due]]</f>
        <v>19157</v>
      </c>
      <c r="O794">
        <v>19657</v>
      </c>
      <c r="P794">
        <v>0</v>
      </c>
      <c r="Q794">
        <v>0</v>
      </c>
      <c r="R794">
        <v>6190</v>
      </c>
      <c r="S794">
        <v>500</v>
      </c>
      <c r="T794">
        <v>19157</v>
      </c>
      <c r="U794">
        <v>0</v>
      </c>
      <c r="V794">
        <v>12967</v>
      </c>
      <c r="W794" t="s">
        <v>30</v>
      </c>
      <c r="X794" s="6" t="s">
        <v>1215</v>
      </c>
    </row>
    <row r="795" spans="1:24" hidden="1" x14ac:dyDescent="0.25">
      <c r="A795" t="s">
        <v>1226</v>
      </c>
      <c r="B795" t="s">
        <v>611</v>
      </c>
      <c r="C795" t="s">
        <v>34</v>
      </c>
      <c r="D795">
        <v>32</v>
      </c>
      <c r="E795" s="1">
        <v>45575</v>
      </c>
      <c r="F795" t="s">
        <v>35</v>
      </c>
      <c r="G795" t="s">
        <v>26</v>
      </c>
      <c r="H795" t="str">
        <f>INDEX(Table1[Diagnosis],MATCH(I795,'codeand diagnosis'!$A$2:$A$11,0))</f>
        <v>Missing teeth</v>
      </c>
      <c r="I795" t="s">
        <v>78</v>
      </c>
      <c r="J795" t="str">
        <f>INDEX(Table1[ICD-10 Code],MATCH(Table2[[#This Row],[Treatment]],Table1[Treatment Type],0))</f>
        <v>K08.1</v>
      </c>
      <c r="K795" t="s">
        <v>28</v>
      </c>
      <c r="L795" t="s">
        <v>38</v>
      </c>
      <c r="M795" t="s">
        <v>29</v>
      </c>
      <c r="N795">
        <f>Table2[[#This Row],[Total Paid]]+Table2[[#This Row],[Due]]</f>
        <v>22519</v>
      </c>
      <c r="O795">
        <v>22519</v>
      </c>
      <c r="P795">
        <v>0</v>
      </c>
      <c r="Q795">
        <v>0</v>
      </c>
      <c r="R795">
        <v>4740</v>
      </c>
      <c r="S795">
        <v>0</v>
      </c>
      <c r="T795">
        <v>22519</v>
      </c>
      <c r="U795">
        <v>0</v>
      </c>
      <c r="V795">
        <v>17779</v>
      </c>
      <c r="W795" t="s">
        <v>51</v>
      </c>
      <c r="X795" s="6" t="s">
        <v>1215</v>
      </c>
    </row>
    <row r="796" spans="1:24" hidden="1" x14ac:dyDescent="0.25">
      <c r="A796" t="s">
        <v>1227</v>
      </c>
      <c r="B796" t="s">
        <v>447</v>
      </c>
      <c r="C796" t="s">
        <v>24</v>
      </c>
      <c r="D796">
        <v>66</v>
      </c>
      <c r="E796" s="1">
        <v>45606</v>
      </c>
      <c r="F796" t="s">
        <v>35</v>
      </c>
      <c r="G796" t="s">
        <v>26</v>
      </c>
      <c r="H796" t="str">
        <f>INDEX(Table1[Diagnosis],MATCH(I796,'codeand diagnosis'!$A$2:$A$11,0))</f>
        <v>Dental examination with radiology</v>
      </c>
      <c r="I796" t="s">
        <v>37</v>
      </c>
      <c r="J796" t="str">
        <f>INDEX(Table1[ICD-10 Code],MATCH(Table2[[#This Row],[Treatment]],Table1[Treatment Type],0))</f>
        <v>Z01.2</v>
      </c>
      <c r="K796" t="s">
        <v>28</v>
      </c>
      <c r="L796" t="s">
        <v>38</v>
      </c>
      <c r="M796" t="s">
        <v>29</v>
      </c>
      <c r="N796">
        <f>Table2[[#This Row],[Total Paid]]+Table2[[#This Row],[Due]]</f>
        <v>350</v>
      </c>
      <c r="O796">
        <v>0</v>
      </c>
      <c r="P796">
        <v>150</v>
      </c>
      <c r="Q796">
        <v>200</v>
      </c>
      <c r="R796">
        <v>0</v>
      </c>
      <c r="S796">
        <v>0</v>
      </c>
      <c r="T796">
        <v>350</v>
      </c>
      <c r="U796">
        <v>0</v>
      </c>
      <c r="V796">
        <v>350</v>
      </c>
      <c r="W796" t="s">
        <v>42</v>
      </c>
      <c r="X796" s="6" t="s">
        <v>1215</v>
      </c>
    </row>
    <row r="797" spans="1:24" hidden="1" x14ac:dyDescent="0.25">
      <c r="A797" t="s">
        <v>1228</v>
      </c>
      <c r="B797" t="s">
        <v>447</v>
      </c>
      <c r="C797" t="s">
        <v>24</v>
      </c>
      <c r="D797">
        <v>47</v>
      </c>
      <c r="E797" s="1">
        <v>45606</v>
      </c>
      <c r="F797" t="s">
        <v>50</v>
      </c>
      <c r="G797" t="s">
        <v>26</v>
      </c>
      <c r="H797" t="str">
        <f>INDEX(Table1[Diagnosis],MATCH(I797,'codeand diagnosis'!$A$2:$A$11,0))</f>
        <v>Dental examination</v>
      </c>
      <c r="I797" t="s">
        <v>45</v>
      </c>
      <c r="J797" t="str">
        <f>INDEX(Table1[ICD-10 Code],MATCH(Table2[[#This Row],[Treatment]],Table1[Treatment Type],0))</f>
        <v>Z01.2</v>
      </c>
      <c r="K797" t="s">
        <v>28</v>
      </c>
      <c r="L797" t="s">
        <v>28</v>
      </c>
      <c r="M797" t="s">
        <v>29</v>
      </c>
      <c r="N797">
        <f>Table2[[#This Row],[Total Paid]]+Table2[[#This Row],[Due]]</f>
        <v>200</v>
      </c>
      <c r="O797">
        <v>0</v>
      </c>
      <c r="P797">
        <v>0</v>
      </c>
      <c r="Q797">
        <v>200</v>
      </c>
      <c r="R797">
        <v>0</v>
      </c>
      <c r="S797">
        <v>0</v>
      </c>
      <c r="T797">
        <v>200</v>
      </c>
      <c r="U797">
        <v>0</v>
      </c>
      <c r="V797">
        <v>200</v>
      </c>
      <c r="W797" t="s">
        <v>47</v>
      </c>
      <c r="X797" s="6" t="s">
        <v>1215</v>
      </c>
    </row>
    <row r="798" spans="1:24" hidden="1" x14ac:dyDescent="0.25">
      <c r="A798" t="s">
        <v>1229</v>
      </c>
      <c r="B798" t="s">
        <v>369</v>
      </c>
      <c r="C798" t="s">
        <v>24</v>
      </c>
      <c r="D798">
        <v>50</v>
      </c>
      <c r="E798" s="1">
        <v>45606</v>
      </c>
      <c r="F798" t="s">
        <v>25</v>
      </c>
      <c r="G798" t="s">
        <v>26</v>
      </c>
      <c r="H798" t="str">
        <f>INDEX(Table1[Diagnosis],MATCH(I798,'codeand diagnosis'!$A$2:$A$11,0))</f>
        <v>Malocclusion</v>
      </c>
      <c r="I798" t="s">
        <v>89</v>
      </c>
      <c r="J798" t="str">
        <f>INDEX(Table1[ICD-10 Code],MATCH(Table2[[#This Row],[Treatment]],Table1[Treatment Type],0))</f>
        <v>K07.4</v>
      </c>
      <c r="K798" t="s">
        <v>28</v>
      </c>
      <c r="L798" t="s">
        <v>28</v>
      </c>
      <c r="M798" t="s">
        <v>61</v>
      </c>
      <c r="N798">
        <f>Table2[[#This Row],[Total Paid]]+Table2[[#This Row],[Due]]</f>
        <v>13377</v>
      </c>
      <c r="O798">
        <v>14377</v>
      </c>
      <c r="P798">
        <v>0</v>
      </c>
      <c r="Q798">
        <v>0</v>
      </c>
      <c r="R798">
        <v>3090</v>
      </c>
      <c r="S798">
        <v>1000</v>
      </c>
      <c r="T798">
        <v>13377</v>
      </c>
      <c r="U798">
        <v>0</v>
      </c>
      <c r="V798">
        <v>10287</v>
      </c>
      <c r="W798" t="s">
        <v>51</v>
      </c>
      <c r="X798" s="6" t="s">
        <v>1215</v>
      </c>
    </row>
    <row r="799" spans="1:24" hidden="1" x14ac:dyDescent="0.25">
      <c r="A799" t="s">
        <v>1230</v>
      </c>
      <c r="B799" t="s">
        <v>363</v>
      </c>
      <c r="C799" t="s">
        <v>34</v>
      </c>
      <c r="D799">
        <v>25</v>
      </c>
      <c r="E799" t="s">
        <v>1231</v>
      </c>
      <c r="F799" t="s">
        <v>88</v>
      </c>
      <c r="G799" t="s">
        <v>36</v>
      </c>
      <c r="H799" t="str">
        <f>INDEX(Table1[Diagnosis],MATCH(I799,'codeand diagnosis'!$A$2:$A$11,0))</f>
        <v>Dental examination</v>
      </c>
      <c r="I799" t="s">
        <v>45</v>
      </c>
      <c r="J799" t="str">
        <f>INDEX(Table1[ICD-10 Code],MATCH(Table2[[#This Row],[Treatment]],Table1[Treatment Type],0))</f>
        <v>Z01.2</v>
      </c>
      <c r="K799" t="s">
        <v>28</v>
      </c>
      <c r="L799" t="s">
        <v>28</v>
      </c>
      <c r="M799" t="s">
        <v>29</v>
      </c>
      <c r="N799">
        <f>Table2[[#This Row],[Total Paid]]+Table2[[#This Row],[Due]]</f>
        <v>200</v>
      </c>
      <c r="O799">
        <v>0</v>
      </c>
      <c r="P799">
        <v>0</v>
      </c>
      <c r="Q799">
        <v>200</v>
      </c>
      <c r="R799">
        <v>0</v>
      </c>
      <c r="S799">
        <v>0</v>
      </c>
      <c r="T799">
        <v>200</v>
      </c>
      <c r="U799">
        <v>0</v>
      </c>
      <c r="V799">
        <v>200</v>
      </c>
      <c r="W799" t="s">
        <v>42</v>
      </c>
      <c r="X799" s="6" t="s">
        <v>1215</v>
      </c>
    </row>
    <row r="800" spans="1:24" hidden="1" x14ac:dyDescent="0.25">
      <c r="A800" t="s">
        <v>1232</v>
      </c>
      <c r="B800" t="s">
        <v>151</v>
      </c>
      <c r="C800" t="s">
        <v>24</v>
      </c>
      <c r="D800">
        <v>13</v>
      </c>
      <c r="E800" t="s">
        <v>1233</v>
      </c>
      <c r="F800" t="s">
        <v>104</v>
      </c>
      <c r="G800" t="s">
        <v>26</v>
      </c>
      <c r="H800" t="str">
        <f>INDEX(Table1[Diagnosis],MATCH(I800,'codeand diagnosis'!$A$2:$A$11,0))</f>
        <v>Missing teeth</v>
      </c>
      <c r="I800" t="s">
        <v>78</v>
      </c>
      <c r="J800" t="str">
        <f>INDEX(Table1[ICD-10 Code],MATCH(Table2[[#This Row],[Treatment]],Table1[Treatment Type],0))</f>
        <v>K08.1</v>
      </c>
      <c r="K800" t="s">
        <v>28</v>
      </c>
      <c r="L800" t="s">
        <v>28</v>
      </c>
      <c r="M800" t="s">
        <v>46</v>
      </c>
      <c r="N800">
        <f>Table2[[#This Row],[Total Paid]]+Table2[[#This Row],[Due]]</f>
        <v>20766</v>
      </c>
      <c r="O800">
        <v>20766</v>
      </c>
      <c r="P800">
        <v>0</v>
      </c>
      <c r="Q800">
        <v>0</v>
      </c>
      <c r="R800">
        <v>5010</v>
      </c>
      <c r="S800">
        <v>0</v>
      </c>
      <c r="T800">
        <v>20766</v>
      </c>
      <c r="U800">
        <v>0</v>
      </c>
      <c r="V800">
        <v>15756</v>
      </c>
      <c r="W800" t="s">
        <v>51</v>
      </c>
      <c r="X800" s="6" t="s">
        <v>1215</v>
      </c>
    </row>
    <row r="801" spans="1:24" hidden="1" x14ac:dyDescent="0.25">
      <c r="A801" t="s">
        <v>1234</v>
      </c>
      <c r="B801" t="s">
        <v>275</v>
      </c>
      <c r="C801" t="s">
        <v>34</v>
      </c>
      <c r="D801">
        <v>7</v>
      </c>
      <c r="E801" t="s">
        <v>1235</v>
      </c>
      <c r="F801" t="s">
        <v>88</v>
      </c>
      <c r="G801" t="s">
        <v>36</v>
      </c>
      <c r="H801" t="str">
        <f>INDEX(Table1[Diagnosis],MATCH(I801,'codeand diagnosis'!$A$2:$A$11,0))</f>
        <v>Dental examination with radiology</v>
      </c>
      <c r="I801" t="s">
        <v>37</v>
      </c>
      <c r="J801" t="str">
        <f>INDEX(Table1[ICD-10 Code],MATCH(Table2[[#This Row],[Treatment]],Table1[Treatment Type],0))</f>
        <v>Z01.2</v>
      </c>
      <c r="K801" t="s">
        <v>28</v>
      </c>
      <c r="L801" t="s">
        <v>38</v>
      </c>
      <c r="M801" t="s">
        <v>46</v>
      </c>
      <c r="N801">
        <f>Table2[[#This Row],[Total Paid]]+Table2[[#This Row],[Due]]</f>
        <v>210</v>
      </c>
      <c r="O801">
        <v>0</v>
      </c>
      <c r="P801">
        <v>150</v>
      </c>
      <c r="Q801">
        <v>200</v>
      </c>
      <c r="R801">
        <v>0</v>
      </c>
      <c r="S801">
        <v>140</v>
      </c>
      <c r="T801">
        <v>210</v>
      </c>
      <c r="U801">
        <v>0</v>
      </c>
      <c r="V801">
        <v>210</v>
      </c>
      <c r="W801" t="s">
        <v>42</v>
      </c>
      <c r="X801" s="6" t="s">
        <v>1215</v>
      </c>
    </row>
    <row r="802" spans="1:24" hidden="1" x14ac:dyDescent="0.25">
      <c r="A802" t="s">
        <v>1236</v>
      </c>
      <c r="B802" t="s">
        <v>125</v>
      </c>
      <c r="C802" t="s">
        <v>34</v>
      </c>
      <c r="D802">
        <v>52</v>
      </c>
      <c r="E802" t="s">
        <v>1235</v>
      </c>
      <c r="F802" t="s">
        <v>35</v>
      </c>
      <c r="G802" t="s">
        <v>36</v>
      </c>
      <c r="H802" t="str">
        <f>INDEX(Table1[Diagnosis],MATCH(I802,'codeand diagnosis'!$A$2:$A$11,0))</f>
        <v>Retained dental root</v>
      </c>
      <c r="I802" t="s">
        <v>145</v>
      </c>
      <c r="J802" t="str">
        <f>INDEX(Table1[ICD-10 Code],MATCH(Table2[[#This Row],[Treatment]],Table1[Treatment Type],0))</f>
        <v>K08.3</v>
      </c>
      <c r="K802" t="s">
        <v>38</v>
      </c>
      <c r="L802" t="s">
        <v>28</v>
      </c>
      <c r="M802" t="s">
        <v>29</v>
      </c>
      <c r="N802">
        <f>Table2[[#This Row],[Total Paid]]+Table2[[#This Row],[Due]]</f>
        <v>2666</v>
      </c>
      <c r="O802">
        <v>2666</v>
      </c>
      <c r="P802">
        <v>0</v>
      </c>
      <c r="Q802">
        <v>0</v>
      </c>
      <c r="R802">
        <v>960</v>
      </c>
      <c r="S802">
        <v>0</v>
      </c>
      <c r="T802">
        <v>2666</v>
      </c>
      <c r="U802">
        <v>0</v>
      </c>
      <c r="V802">
        <v>1706</v>
      </c>
      <c r="W802" t="s">
        <v>47</v>
      </c>
      <c r="X802" s="6" t="s">
        <v>1215</v>
      </c>
    </row>
    <row r="803" spans="1:24" hidden="1" x14ac:dyDescent="0.25">
      <c r="A803" t="s">
        <v>1237</v>
      </c>
      <c r="B803" t="s">
        <v>207</v>
      </c>
      <c r="C803" t="s">
        <v>34</v>
      </c>
      <c r="D803">
        <v>10</v>
      </c>
      <c r="E803" t="s">
        <v>1238</v>
      </c>
      <c r="F803" t="s">
        <v>359</v>
      </c>
      <c r="G803" t="s">
        <v>36</v>
      </c>
      <c r="H803" t="str">
        <f>INDEX(Table1[Diagnosis],MATCH(I803,'codeand diagnosis'!$A$2:$A$11,0))</f>
        <v>Dental examination with radiology</v>
      </c>
      <c r="I803" t="s">
        <v>37</v>
      </c>
      <c r="J803" t="str">
        <f>INDEX(Table1[ICD-10 Code],MATCH(Table2[[#This Row],[Treatment]],Table1[Treatment Type],0))</f>
        <v>Z01.2</v>
      </c>
      <c r="K803" t="s">
        <v>28</v>
      </c>
      <c r="L803" t="s">
        <v>38</v>
      </c>
      <c r="M803" t="s">
        <v>29</v>
      </c>
      <c r="N803">
        <f>Table2[[#This Row],[Total Paid]]+Table2[[#This Row],[Due]]</f>
        <v>350</v>
      </c>
      <c r="O803">
        <v>0</v>
      </c>
      <c r="P803">
        <v>150</v>
      </c>
      <c r="Q803">
        <v>200</v>
      </c>
      <c r="R803">
        <v>0</v>
      </c>
      <c r="S803">
        <v>0</v>
      </c>
      <c r="T803">
        <v>350</v>
      </c>
      <c r="U803">
        <v>0</v>
      </c>
      <c r="V803">
        <v>350</v>
      </c>
      <c r="W803" t="s">
        <v>51</v>
      </c>
      <c r="X803" s="6" t="s">
        <v>1215</v>
      </c>
    </row>
    <row r="804" spans="1:24" hidden="1" x14ac:dyDescent="0.25">
      <c r="A804" t="s">
        <v>1239</v>
      </c>
      <c r="B804" t="s">
        <v>275</v>
      </c>
      <c r="C804" t="s">
        <v>34</v>
      </c>
      <c r="D804">
        <v>80</v>
      </c>
      <c r="E804" t="s">
        <v>1240</v>
      </c>
      <c r="F804" t="s">
        <v>35</v>
      </c>
      <c r="G804" t="s">
        <v>36</v>
      </c>
      <c r="H804" t="str">
        <f>INDEX(Table1[Diagnosis],MATCH(I804,'codeand diagnosis'!$A$2:$A$11,0))</f>
        <v>Dental examination with radiology</v>
      </c>
      <c r="I804" t="s">
        <v>37</v>
      </c>
      <c r="J804" t="str">
        <f>INDEX(Table1[ICD-10 Code],MATCH(Table2[[#This Row],[Treatment]],Table1[Treatment Type],0))</f>
        <v>Z01.2</v>
      </c>
      <c r="K804" t="s">
        <v>28</v>
      </c>
      <c r="L804" t="s">
        <v>38</v>
      </c>
      <c r="M804" t="s">
        <v>29</v>
      </c>
      <c r="N804">
        <f>Table2[[#This Row],[Total Paid]]+Table2[[#This Row],[Due]]</f>
        <v>350</v>
      </c>
      <c r="O804">
        <v>0</v>
      </c>
      <c r="P804">
        <v>150</v>
      </c>
      <c r="Q804">
        <v>200</v>
      </c>
      <c r="R804">
        <v>0</v>
      </c>
      <c r="S804">
        <v>0</v>
      </c>
      <c r="T804">
        <v>350</v>
      </c>
      <c r="U804">
        <v>0</v>
      </c>
      <c r="V804">
        <v>350</v>
      </c>
      <c r="W804" t="s">
        <v>51</v>
      </c>
      <c r="X804" s="6" t="s">
        <v>1215</v>
      </c>
    </row>
    <row r="805" spans="1:24" hidden="1" x14ac:dyDescent="0.25">
      <c r="A805" t="s">
        <v>1241</v>
      </c>
      <c r="B805" t="s">
        <v>451</v>
      </c>
      <c r="C805" t="s">
        <v>24</v>
      </c>
      <c r="D805">
        <v>53</v>
      </c>
      <c r="E805" t="s">
        <v>1240</v>
      </c>
      <c r="F805" t="s">
        <v>50</v>
      </c>
      <c r="G805" t="s">
        <v>26</v>
      </c>
      <c r="H805" t="str">
        <f>INDEX(Table1[Diagnosis],MATCH(I805,'codeand diagnosis'!$A$2:$A$11,0))</f>
        <v>Malocclusion</v>
      </c>
      <c r="I805" t="s">
        <v>89</v>
      </c>
      <c r="J805" t="str">
        <f>INDEX(Table1[ICD-10 Code],MATCH(Table2[[#This Row],[Treatment]],Table1[Treatment Type],0))</f>
        <v>K07.4</v>
      </c>
      <c r="K805" t="s">
        <v>38</v>
      </c>
      <c r="L805" t="s">
        <v>28</v>
      </c>
      <c r="M805" t="s">
        <v>29</v>
      </c>
      <c r="N805">
        <f>Table2[[#This Row],[Total Paid]]+Table2[[#This Row],[Due]]</f>
        <v>16467</v>
      </c>
      <c r="O805">
        <v>17467</v>
      </c>
      <c r="P805">
        <v>0</v>
      </c>
      <c r="Q805">
        <v>0</v>
      </c>
      <c r="R805">
        <v>4700</v>
      </c>
      <c r="S805">
        <v>1000</v>
      </c>
      <c r="T805">
        <v>16467</v>
      </c>
      <c r="U805">
        <v>0</v>
      </c>
      <c r="V805">
        <v>11767</v>
      </c>
      <c r="W805" t="s">
        <v>42</v>
      </c>
      <c r="X805" s="6" t="s">
        <v>1215</v>
      </c>
    </row>
    <row r="806" spans="1:24" hidden="1" x14ac:dyDescent="0.25">
      <c r="A806" t="s">
        <v>1242</v>
      </c>
      <c r="B806" t="s">
        <v>275</v>
      </c>
      <c r="C806" t="s">
        <v>34</v>
      </c>
      <c r="D806">
        <v>41</v>
      </c>
      <c r="E806" t="s">
        <v>1243</v>
      </c>
      <c r="F806" t="s">
        <v>88</v>
      </c>
      <c r="G806" t="s">
        <v>36</v>
      </c>
      <c r="H806" t="str">
        <f>INDEX(Table1[Diagnosis],MATCH(I806,'codeand diagnosis'!$A$2:$A$11,0))</f>
        <v>Dental examination</v>
      </c>
      <c r="I806" t="s">
        <v>45</v>
      </c>
      <c r="J806" t="str">
        <f>INDEX(Table1[ICD-10 Code],MATCH(Table2[[#This Row],[Treatment]],Table1[Treatment Type],0))</f>
        <v>Z01.2</v>
      </c>
      <c r="K806" t="s">
        <v>28</v>
      </c>
      <c r="L806" t="s">
        <v>28</v>
      </c>
      <c r="M806" t="s">
        <v>29</v>
      </c>
      <c r="N806">
        <f>Table2[[#This Row],[Total Paid]]+Table2[[#This Row],[Due]]</f>
        <v>200</v>
      </c>
      <c r="O806">
        <v>0</v>
      </c>
      <c r="P806">
        <v>0</v>
      </c>
      <c r="Q806">
        <v>200</v>
      </c>
      <c r="R806">
        <v>0</v>
      </c>
      <c r="S806">
        <v>0</v>
      </c>
      <c r="T806">
        <v>200</v>
      </c>
      <c r="U806">
        <v>0</v>
      </c>
      <c r="V806">
        <v>200</v>
      </c>
      <c r="W806" t="s">
        <v>51</v>
      </c>
      <c r="X806" s="6" t="s">
        <v>1215</v>
      </c>
    </row>
    <row r="807" spans="1:24" x14ac:dyDescent="0.25">
      <c r="A807" t="s">
        <v>1244</v>
      </c>
      <c r="B807" t="s">
        <v>91</v>
      </c>
      <c r="C807" t="s">
        <v>34</v>
      </c>
      <c r="D807">
        <v>5</v>
      </c>
      <c r="E807" t="s">
        <v>1243</v>
      </c>
      <c r="F807" t="s">
        <v>88</v>
      </c>
      <c r="G807" t="s">
        <v>36</v>
      </c>
      <c r="H807" t="str">
        <f>INDEX(Table1[Diagnosis],MATCH(I807,'codeand diagnosis'!$A$2:$A$11,0))</f>
        <v>Dental examination</v>
      </c>
      <c r="I807" t="s">
        <v>45</v>
      </c>
      <c r="J807" t="str">
        <f>INDEX(Table1[ICD-10 Code],MATCH(Table2[[#This Row],[Treatment]],Table1[Treatment Type],0))</f>
        <v>Z01.2</v>
      </c>
      <c r="K807" t="s">
        <v>28</v>
      </c>
      <c r="L807" t="s">
        <v>28</v>
      </c>
      <c r="M807" t="s">
        <v>46</v>
      </c>
      <c r="N807">
        <f>Table2[[#This Row],[Total Paid]]+Table2[[#This Row],[Due]]</f>
        <v>120</v>
      </c>
      <c r="O807">
        <v>0</v>
      </c>
      <c r="P807">
        <v>0</v>
      </c>
      <c r="Q807">
        <v>200</v>
      </c>
      <c r="R807">
        <v>0</v>
      </c>
      <c r="S807">
        <v>80</v>
      </c>
      <c r="T807">
        <v>120</v>
      </c>
      <c r="U807">
        <v>0</v>
      </c>
      <c r="V807">
        <v>120</v>
      </c>
      <c r="W807" t="s">
        <v>42</v>
      </c>
      <c r="X807" s="6" t="s">
        <v>1215</v>
      </c>
    </row>
    <row r="808" spans="1:24" hidden="1" x14ac:dyDescent="0.25">
      <c r="A808" t="s">
        <v>1245</v>
      </c>
      <c r="B808" t="s">
        <v>94</v>
      </c>
      <c r="C808" t="s">
        <v>24</v>
      </c>
      <c r="D808">
        <v>49</v>
      </c>
      <c r="E808" t="s">
        <v>1243</v>
      </c>
      <c r="F808" t="s">
        <v>88</v>
      </c>
      <c r="G808" t="s">
        <v>36</v>
      </c>
      <c r="H808" t="str">
        <f>INDEX(Table1[Diagnosis],MATCH(I808,'codeand diagnosis'!$A$2:$A$11,0))</f>
        <v>Dental examination</v>
      </c>
      <c r="I808" t="s">
        <v>45</v>
      </c>
      <c r="J808" t="str">
        <f>INDEX(Table1[ICD-10 Code],MATCH(Table2[[#This Row],[Treatment]],Table1[Treatment Type],0))</f>
        <v>Z01.2</v>
      </c>
      <c r="K808" t="s">
        <v>28</v>
      </c>
      <c r="L808" t="s">
        <v>28</v>
      </c>
      <c r="M808" t="s">
        <v>29</v>
      </c>
      <c r="N808">
        <f>Table2[[#This Row],[Total Paid]]+Table2[[#This Row],[Due]]</f>
        <v>120</v>
      </c>
      <c r="O808">
        <v>0</v>
      </c>
      <c r="P808">
        <v>0</v>
      </c>
      <c r="Q808">
        <v>200</v>
      </c>
      <c r="R808">
        <v>0</v>
      </c>
      <c r="S808">
        <v>80</v>
      </c>
      <c r="T808">
        <v>120</v>
      </c>
      <c r="U808">
        <v>0</v>
      </c>
      <c r="V808">
        <v>120</v>
      </c>
      <c r="W808" t="s">
        <v>42</v>
      </c>
      <c r="X808" s="6" t="s">
        <v>1215</v>
      </c>
    </row>
    <row r="809" spans="1:24" hidden="1" x14ac:dyDescent="0.25">
      <c r="A809" t="s">
        <v>1246</v>
      </c>
      <c r="B809" t="s">
        <v>314</v>
      </c>
      <c r="C809" t="s">
        <v>24</v>
      </c>
      <c r="D809">
        <v>52</v>
      </c>
      <c r="E809" t="s">
        <v>1247</v>
      </c>
      <c r="F809" t="s">
        <v>60</v>
      </c>
      <c r="G809" t="s">
        <v>26</v>
      </c>
      <c r="H809" t="str">
        <f>INDEX(Table1[Diagnosis],MATCH(I809,'codeand diagnosis'!$A$2:$A$11,0))</f>
        <v>Dental examination with radiology</v>
      </c>
      <c r="I809" t="s">
        <v>37</v>
      </c>
      <c r="J809" t="str">
        <f>INDEX(Table1[ICD-10 Code],MATCH(Table2[[#This Row],[Treatment]],Table1[Treatment Type],0))</f>
        <v>Z01.2</v>
      </c>
      <c r="K809" t="s">
        <v>28</v>
      </c>
      <c r="L809" t="s">
        <v>38</v>
      </c>
      <c r="M809" t="s">
        <v>29</v>
      </c>
      <c r="N809">
        <f>Table2[[#This Row],[Total Paid]]+Table2[[#This Row],[Due]]</f>
        <v>350</v>
      </c>
      <c r="O809">
        <v>0</v>
      </c>
      <c r="P809">
        <v>150</v>
      </c>
      <c r="Q809">
        <v>200</v>
      </c>
      <c r="R809">
        <v>0</v>
      </c>
      <c r="S809">
        <v>0</v>
      </c>
      <c r="T809">
        <v>350</v>
      </c>
      <c r="U809">
        <v>0</v>
      </c>
      <c r="V809">
        <v>350</v>
      </c>
      <c r="W809" t="s">
        <v>47</v>
      </c>
      <c r="X809" s="6" t="s">
        <v>1215</v>
      </c>
    </row>
    <row r="810" spans="1:24" hidden="1" x14ac:dyDescent="0.25">
      <c r="A810" t="s">
        <v>1248</v>
      </c>
      <c r="B810" t="s">
        <v>125</v>
      </c>
      <c r="C810" t="s">
        <v>34</v>
      </c>
      <c r="D810">
        <v>54</v>
      </c>
      <c r="E810" t="s">
        <v>1247</v>
      </c>
      <c r="F810" t="s">
        <v>88</v>
      </c>
      <c r="G810" t="s">
        <v>26</v>
      </c>
      <c r="H810" t="str">
        <f>INDEX(Table1[Diagnosis],MATCH(I810,'codeand diagnosis'!$A$2:$A$11,0))</f>
        <v>Cosmetic procedure</v>
      </c>
      <c r="I810" t="s">
        <v>55</v>
      </c>
      <c r="J810" t="str">
        <f>INDEX(Table1[ICD-10 Code],MATCH(Table2[[#This Row],[Treatment]],Table1[Treatment Type],0))</f>
        <v>Z41.1</v>
      </c>
      <c r="K810" t="s">
        <v>38</v>
      </c>
      <c r="L810" t="s">
        <v>38</v>
      </c>
      <c r="M810" t="s">
        <v>29</v>
      </c>
      <c r="N810">
        <f>Table2[[#This Row],[Total Paid]]+Table2[[#This Row],[Due]]</f>
        <v>809</v>
      </c>
      <c r="O810">
        <v>1309</v>
      </c>
      <c r="P810">
        <v>0</v>
      </c>
      <c r="Q810">
        <v>0</v>
      </c>
      <c r="R810">
        <v>0</v>
      </c>
      <c r="S810">
        <v>500</v>
      </c>
      <c r="T810">
        <v>809</v>
      </c>
      <c r="U810">
        <v>0</v>
      </c>
      <c r="V810">
        <v>809</v>
      </c>
      <c r="W810" t="s">
        <v>42</v>
      </c>
      <c r="X810" s="6" t="s">
        <v>1215</v>
      </c>
    </row>
    <row r="811" spans="1:24" hidden="1" x14ac:dyDescent="0.25">
      <c r="A811" t="s">
        <v>1249</v>
      </c>
      <c r="B811" t="s">
        <v>342</v>
      </c>
      <c r="C811" t="s">
        <v>34</v>
      </c>
      <c r="D811">
        <v>33</v>
      </c>
      <c r="E811" t="s">
        <v>1250</v>
      </c>
      <c r="F811" t="s">
        <v>359</v>
      </c>
      <c r="G811" t="s">
        <v>26</v>
      </c>
      <c r="H811" t="str">
        <f>INDEX(Table1[Diagnosis],MATCH(I811,'codeand diagnosis'!$A$2:$A$11,0))</f>
        <v>Missing teeth</v>
      </c>
      <c r="I811" t="s">
        <v>78</v>
      </c>
      <c r="J811" t="str">
        <f>INDEX(Table1[ICD-10 Code],MATCH(Table2[[#This Row],[Treatment]],Table1[Treatment Type],0))</f>
        <v>K08.1</v>
      </c>
      <c r="K811" t="s">
        <v>38</v>
      </c>
      <c r="L811" t="s">
        <v>38</v>
      </c>
      <c r="M811" t="s">
        <v>29</v>
      </c>
      <c r="N811">
        <f>Table2[[#This Row],[Total Paid]]+Table2[[#This Row],[Due]]</f>
        <v>19379</v>
      </c>
      <c r="O811">
        <v>19379</v>
      </c>
      <c r="P811">
        <v>0</v>
      </c>
      <c r="Q811">
        <v>0</v>
      </c>
      <c r="R811">
        <v>5310</v>
      </c>
      <c r="S811">
        <v>0</v>
      </c>
      <c r="T811">
        <v>19379</v>
      </c>
      <c r="U811">
        <v>0</v>
      </c>
      <c r="V811">
        <v>14069</v>
      </c>
      <c r="W811" t="s">
        <v>51</v>
      </c>
      <c r="X811" s="6" t="s">
        <v>1215</v>
      </c>
    </row>
    <row r="812" spans="1:24" hidden="1" x14ac:dyDescent="0.25">
      <c r="A812" t="s">
        <v>1251</v>
      </c>
      <c r="B812" t="s">
        <v>374</v>
      </c>
      <c r="C812" t="s">
        <v>34</v>
      </c>
      <c r="D812">
        <v>67</v>
      </c>
      <c r="E812" t="s">
        <v>1250</v>
      </c>
      <c r="F812" t="s">
        <v>50</v>
      </c>
      <c r="G812" t="s">
        <v>36</v>
      </c>
      <c r="H812" t="str">
        <f>INDEX(Table1[Diagnosis],MATCH(I812,'codeand diagnosis'!$A$2:$A$11,0))</f>
        <v>Dental examination with radiology</v>
      </c>
      <c r="I812" t="s">
        <v>37</v>
      </c>
      <c r="J812" t="str">
        <f>INDEX(Table1[ICD-10 Code],MATCH(Table2[[#This Row],[Treatment]],Table1[Treatment Type],0))</f>
        <v>Z01.2</v>
      </c>
      <c r="K812" t="s">
        <v>28</v>
      </c>
      <c r="L812" t="s">
        <v>38</v>
      </c>
      <c r="M812" t="s">
        <v>46</v>
      </c>
      <c r="N812">
        <f>Table2[[#This Row],[Total Paid]]+Table2[[#This Row],[Due]]</f>
        <v>350</v>
      </c>
      <c r="O812">
        <v>0</v>
      </c>
      <c r="P812">
        <v>150</v>
      </c>
      <c r="Q812">
        <v>200</v>
      </c>
      <c r="R812">
        <v>0</v>
      </c>
      <c r="S812">
        <v>0</v>
      </c>
      <c r="T812">
        <v>350</v>
      </c>
      <c r="U812">
        <v>0</v>
      </c>
      <c r="V812">
        <v>350</v>
      </c>
      <c r="W812" t="s">
        <v>47</v>
      </c>
      <c r="X812" s="6" t="s">
        <v>1215</v>
      </c>
    </row>
    <row r="813" spans="1:24" hidden="1" x14ac:dyDescent="0.25">
      <c r="A813" t="s">
        <v>1252</v>
      </c>
      <c r="B813" t="s">
        <v>188</v>
      </c>
      <c r="C813" t="s">
        <v>34</v>
      </c>
      <c r="D813">
        <v>36</v>
      </c>
      <c r="E813" t="s">
        <v>1253</v>
      </c>
      <c r="F813" t="s">
        <v>88</v>
      </c>
      <c r="G813" t="s">
        <v>26</v>
      </c>
      <c r="H813" t="str">
        <f>INDEX(Table1[Diagnosis],MATCH(I813,'codeand diagnosis'!$A$2:$A$11,0))</f>
        <v>Dental examination</v>
      </c>
      <c r="I813" t="s">
        <v>45</v>
      </c>
      <c r="J813" t="str">
        <f>INDEX(Table1[ICD-10 Code],MATCH(Table2[[#This Row],[Treatment]],Table1[Treatment Type],0))</f>
        <v>Z01.2</v>
      </c>
      <c r="K813" t="s">
        <v>38</v>
      </c>
      <c r="L813" t="s">
        <v>28</v>
      </c>
      <c r="M813" t="s">
        <v>46</v>
      </c>
      <c r="N813">
        <f>Table2[[#This Row],[Total Paid]]+Table2[[#This Row],[Due]]</f>
        <v>0</v>
      </c>
      <c r="O813">
        <v>0</v>
      </c>
      <c r="P813">
        <v>0</v>
      </c>
      <c r="Q813">
        <v>0</v>
      </c>
      <c r="R813">
        <v>0</v>
      </c>
      <c r="S813">
        <v>0</v>
      </c>
      <c r="T813">
        <v>0</v>
      </c>
      <c r="U813">
        <v>0</v>
      </c>
      <c r="V813">
        <v>0</v>
      </c>
      <c r="W813" t="s">
        <v>51</v>
      </c>
      <c r="X813" s="6" t="s">
        <v>1215</v>
      </c>
    </row>
    <row r="814" spans="1:24" hidden="1" x14ac:dyDescent="0.25">
      <c r="A814" t="s">
        <v>1254</v>
      </c>
      <c r="B814" t="s">
        <v>156</v>
      </c>
      <c r="C814" t="s">
        <v>24</v>
      </c>
      <c r="D814">
        <v>66</v>
      </c>
      <c r="E814" t="s">
        <v>1255</v>
      </c>
      <c r="F814" t="s">
        <v>50</v>
      </c>
      <c r="G814" t="s">
        <v>36</v>
      </c>
      <c r="H814" t="str">
        <f>INDEX(Table1[Diagnosis],MATCH(I814,'codeand diagnosis'!$A$2:$A$11,0))</f>
        <v>Loss of teeth</v>
      </c>
      <c r="I814" t="s">
        <v>68</v>
      </c>
      <c r="J814" t="str">
        <f>INDEX(Table1[ICD-10 Code],MATCH(Table2[[#This Row],[Treatment]],Table1[Treatment Type],0))</f>
        <v>K08.1</v>
      </c>
      <c r="K814" t="s">
        <v>28</v>
      </c>
      <c r="L814" t="s">
        <v>38</v>
      </c>
      <c r="M814" t="s">
        <v>46</v>
      </c>
      <c r="N814">
        <f>Table2[[#This Row],[Total Paid]]+Table2[[#This Row],[Due]]</f>
        <v>975</v>
      </c>
      <c r="O814">
        <v>975</v>
      </c>
      <c r="P814">
        <v>0</v>
      </c>
      <c r="Q814">
        <v>0</v>
      </c>
      <c r="R814">
        <v>0</v>
      </c>
      <c r="S814">
        <v>0</v>
      </c>
      <c r="T814">
        <v>975</v>
      </c>
      <c r="U814">
        <v>0</v>
      </c>
      <c r="V814">
        <v>975</v>
      </c>
      <c r="W814" t="s">
        <v>42</v>
      </c>
      <c r="X814" s="6" t="s">
        <v>1215</v>
      </c>
    </row>
    <row r="815" spans="1:24" hidden="1" x14ac:dyDescent="0.25">
      <c r="A815" t="s">
        <v>1256</v>
      </c>
      <c r="B815" t="s">
        <v>106</v>
      </c>
      <c r="C815" t="s">
        <v>24</v>
      </c>
      <c r="D815">
        <v>13</v>
      </c>
      <c r="E815" t="s">
        <v>1257</v>
      </c>
      <c r="F815" t="s">
        <v>88</v>
      </c>
      <c r="G815" t="s">
        <v>26</v>
      </c>
      <c r="H815" t="str">
        <f>INDEX(Table1[Diagnosis],MATCH(I815,'codeand diagnosis'!$A$2:$A$11,0))</f>
        <v>Dental examination</v>
      </c>
      <c r="I815" t="s">
        <v>45</v>
      </c>
      <c r="J815" t="str">
        <f>INDEX(Table1[ICD-10 Code],MATCH(Table2[[#This Row],[Treatment]],Table1[Treatment Type],0))</f>
        <v>Z01.2</v>
      </c>
      <c r="K815" t="s">
        <v>28</v>
      </c>
      <c r="L815" t="s">
        <v>28</v>
      </c>
      <c r="M815" t="s">
        <v>46</v>
      </c>
      <c r="N815">
        <f>Table2[[#This Row],[Total Paid]]+Table2[[#This Row],[Due]]</f>
        <v>200</v>
      </c>
      <c r="O815">
        <v>0</v>
      </c>
      <c r="P815">
        <v>0</v>
      </c>
      <c r="Q815">
        <v>200</v>
      </c>
      <c r="R815">
        <v>0</v>
      </c>
      <c r="S815">
        <v>0</v>
      </c>
      <c r="T815">
        <v>200</v>
      </c>
      <c r="U815">
        <v>0</v>
      </c>
      <c r="V815">
        <v>200</v>
      </c>
      <c r="W815" t="s">
        <v>51</v>
      </c>
      <c r="X815" s="6" t="s">
        <v>1215</v>
      </c>
    </row>
    <row r="816" spans="1:24" hidden="1" x14ac:dyDescent="0.25">
      <c r="A816" t="s">
        <v>1258</v>
      </c>
      <c r="B816" t="s">
        <v>73</v>
      </c>
      <c r="C816" t="s">
        <v>34</v>
      </c>
      <c r="D816">
        <v>37</v>
      </c>
      <c r="E816" t="s">
        <v>1257</v>
      </c>
      <c r="F816" t="s">
        <v>54</v>
      </c>
      <c r="G816" t="s">
        <v>26</v>
      </c>
      <c r="H816" t="str">
        <f>INDEX(Table1[Diagnosis],MATCH(I816,'codeand diagnosis'!$A$2:$A$11,0))</f>
        <v>Missing teeth</v>
      </c>
      <c r="I816" t="s">
        <v>78</v>
      </c>
      <c r="J816" t="str">
        <f>INDEX(Table1[ICD-10 Code],MATCH(Table2[[#This Row],[Treatment]],Table1[Treatment Type],0))</f>
        <v>K08.1</v>
      </c>
      <c r="K816" t="s">
        <v>38</v>
      </c>
      <c r="L816" t="s">
        <v>38</v>
      </c>
      <c r="M816" t="s">
        <v>29</v>
      </c>
      <c r="N816">
        <f>Table2[[#This Row],[Total Paid]]+Table2[[#This Row],[Due]]</f>
        <v>25672</v>
      </c>
      <c r="O816">
        <v>25672</v>
      </c>
      <c r="P816">
        <v>0</v>
      </c>
      <c r="Q816">
        <v>0</v>
      </c>
      <c r="R816">
        <v>5310</v>
      </c>
      <c r="S816">
        <v>0</v>
      </c>
      <c r="T816">
        <v>25672</v>
      </c>
      <c r="U816">
        <v>0</v>
      </c>
      <c r="V816">
        <v>20362</v>
      </c>
      <c r="W816" t="s">
        <v>51</v>
      </c>
      <c r="X816" s="6" t="s">
        <v>1215</v>
      </c>
    </row>
    <row r="817" spans="1:24" hidden="1" x14ac:dyDescent="0.25">
      <c r="A817" t="s">
        <v>1259</v>
      </c>
      <c r="B817" t="s">
        <v>271</v>
      </c>
      <c r="C817" t="s">
        <v>24</v>
      </c>
      <c r="D817">
        <v>34</v>
      </c>
      <c r="E817" t="s">
        <v>1257</v>
      </c>
      <c r="F817" t="s">
        <v>50</v>
      </c>
      <c r="G817" t="s">
        <v>26</v>
      </c>
      <c r="H817" t="str">
        <f>INDEX(Table1[Diagnosis],MATCH(I817,'codeand diagnosis'!$A$2:$A$11,0))</f>
        <v>Dental examination with radiology</v>
      </c>
      <c r="I817" t="s">
        <v>37</v>
      </c>
      <c r="J817" t="str">
        <f>INDEX(Table1[ICD-10 Code],MATCH(Table2[[#This Row],[Treatment]],Table1[Treatment Type],0))</f>
        <v>Z01.2</v>
      </c>
      <c r="K817" t="s">
        <v>28</v>
      </c>
      <c r="L817" t="s">
        <v>38</v>
      </c>
      <c r="M817" t="s">
        <v>29</v>
      </c>
      <c r="N817">
        <f>Table2[[#This Row],[Total Paid]]+Table2[[#This Row],[Due]]</f>
        <v>350</v>
      </c>
      <c r="O817">
        <v>0</v>
      </c>
      <c r="P817">
        <v>150</v>
      </c>
      <c r="Q817">
        <v>200</v>
      </c>
      <c r="R817">
        <v>0</v>
      </c>
      <c r="S817">
        <v>0</v>
      </c>
      <c r="T817">
        <v>350</v>
      </c>
      <c r="U817">
        <v>0</v>
      </c>
      <c r="V817">
        <v>350</v>
      </c>
      <c r="W817" t="s">
        <v>47</v>
      </c>
      <c r="X817" s="6" t="s">
        <v>1215</v>
      </c>
    </row>
    <row r="818" spans="1:24" hidden="1" x14ac:dyDescent="0.25">
      <c r="A818" t="s">
        <v>1260</v>
      </c>
      <c r="B818" t="s">
        <v>77</v>
      </c>
      <c r="C818" t="s">
        <v>34</v>
      </c>
      <c r="D818">
        <v>8</v>
      </c>
      <c r="E818" s="1">
        <v>45302</v>
      </c>
      <c r="F818" t="s">
        <v>88</v>
      </c>
      <c r="G818" t="s">
        <v>36</v>
      </c>
      <c r="H818" t="str">
        <f>INDEX(Table1[Diagnosis],MATCH(I818,'codeand diagnosis'!$A$2:$A$11,0))</f>
        <v>Dental examination</v>
      </c>
      <c r="I818" t="s">
        <v>45</v>
      </c>
      <c r="J818" t="str">
        <f>INDEX(Table1[ICD-10 Code],MATCH(Table2[[#This Row],[Treatment]],Table1[Treatment Type],0))</f>
        <v>Z01.2</v>
      </c>
      <c r="K818" t="s">
        <v>28</v>
      </c>
      <c r="L818" t="s">
        <v>28</v>
      </c>
      <c r="M818" t="s">
        <v>29</v>
      </c>
      <c r="N818">
        <f>Table2[[#This Row],[Total Paid]]+Table2[[#This Row],[Due]]</f>
        <v>200</v>
      </c>
      <c r="O818">
        <v>0</v>
      </c>
      <c r="P818">
        <v>0</v>
      </c>
      <c r="Q818">
        <v>200</v>
      </c>
      <c r="R818">
        <v>0</v>
      </c>
      <c r="S818">
        <v>0</v>
      </c>
      <c r="T818">
        <v>200</v>
      </c>
      <c r="U818">
        <v>0</v>
      </c>
      <c r="V818">
        <v>200</v>
      </c>
      <c r="W818" t="s">
        <v>42</v>
      </c>
      <c r="X818" s="6" t="s">
        <v>1261</v>
      </c>
    </row>
    <row r="819" spans="1:24" hidden="1" x14ac:dyDescent="0.25">
      <c r="A819" t="s">
        <v>1262</v>
      </c>
      <c r="B819" t="s">
        <v>447</v>
      </c>
      <c r="C819" t="s">
        <v>24</v>
      </c>
      <c r="D819">
        <v>37</v>
      </c>
      <c r="E819" s="1">
        <v>45393</v>
      </c>
      <c r="F819" t="s">
        <v>35</v>
      </c>
      <c r="G819" t="s">
        <v>36</v>
      </c>
      <c r="H819" t="str">
        <f>INDEX(Table1[Diagnosis],MATCH(I819,'codeand diagnosis'!$A$2:$A$11,0))</f>
        <v>Dental caries</v>
      </c>
      <c r="I819" t="s">
        <v>41</v>
      </c>
      <c r="J819" t="str">
        <f>INDEX(Table1[ICD-10 Code],MATCH(Table2[[#This Row],[Treatment]],Table1[Treatment Type],0))</f>
        <v>K02.9</v>
      </c>
      <c r="K819" t="s">
        <v>28</v>
      </c>
      <c r="L819" t="s">
        <v>38</v>
      </c>
      <c r="M819" t="s">
        <v>29</v>
      </c>
      <c r="N819">
        <f>Table2[[#This Row],[Total Paid]]+Table2[[#This Row],[Due]]</f>
        <v>979</v>
      </c>
      <c r="O819">
        <v>979</v>
      </c>
      <c r="P819">
        <v>0</v>
      </c>
      <c r="Q819">
        <v>0</v>
      </c>
      <c r="R819">
        <v>0</v>
      </c>
      <c r="S819">
        <v>0</v>
      </c>
      <c r="T819">
        <v>979</v>
      </c>
      <c r="U819">
        <v>0</v>
      </c>
      <c r="V819">
        <v>979</v>
      </c>
      <c r="W819" t="s">
        <v>42</v>
      </c>
      <c r="X819" s="6" t="s">
        <v>1261</v>
      </c>
    </row>
    <row r="820" spans="1:24" hidden="1" x14ac:dyDescent="0.25">
      <c r="A820" t="s">
        <v>1263</v>
      </c>
      <c r="B820" t="s">
        <v>306</v>
      </c>
      <c r="C820" t="s">
        <v>24</v>
      </c>
      <c r="D820">
        <v>9</v>
      </c>
      <c r="E820" s="1">
        <v>45393</v>
      </c>
      <c r="F820" t="s">
        <v>50</v>
      </c>
      <c r="G820" t="s">
        <v>26</v>
      </c>
      <c r="H820" t="str">
        <f>INDEX(Table1[Diagnosis],MATCH(I820,'codeand diagnosis'!$A$2:$A$11,0))</f>
        <v>Pulpitis</v>
      </c>
      <c r="I820" t="s">
        <v>111</v>
      </c>
      <c r="J820" t="str">
        <f>INDEX(Table1[ICD-10 Code],MATCH(Table2[[#This Row],[Treatment]],Table1[Treatment Type],0))</f>
        <v>K04.0</v>
      </c>
      <c r="K820" t="s">
        <v>38</v>
      </c>
      <c r="L820" t="s">
        <v>28</v>
      </c>
      <c r="M820" t="s">
        <v>61</v>
      </c>
      <c r="N820">
        <f>Table2[[#This Row],[Total Paid]]+Table2[[#This Row],[Due]]</f>
        <v>3164</v>
      </c>
      <c r="O820">
        <v>3164</v>
      </c>
      <c r="P820">
        <v>0</v>
      </c>
      <c r="Q820">
        <v>0</v>
      </c>
      <c r="R820">
        <v>0</v>
      </c>
      <c r="S820">
        <v>0</v>
      </c>
      <c r="T820">
        <v>3164</v>
      </c>
      <c r="U820">
        <v>0</v>
      </c>
      <c r="V820">
        <v>3164</v>
      </c>
      <c r="W820" t="s">
        <v>47</v>
      </c>
      <c r="X820" s="6" t="s">
        <v>1261</v>
      </c>
    </row>
    <row r="821" spans="1:24" hidden="1" x14ac:dyDescent="0.25">
      <c r="A821" t="s">
        <v>1264</v>
      </c>
      <c r="B821" t="s">
        <v>113</v>
      </c>
      <c r="C821" t="s">
        <v>24</v>
      </c>
      <c r="D821">
        <v>78</v>
      </c>
      <c r="E821" s="1">
        <v>45423</v>
      </c>
      <c r="F821" t="s">
        <v>50</v>
      </c>
      <c r="G821" t="s">
        <v>26</v>
      </c>
      <c r="H821" t="str">
        <f>INDEX(Table1[Diagnosis],MATCH(I821,'codeand diagnosis'!$A$2:$A$11,0))</f>
        <v>Dental examination</v>
      </c>
      <c r="I821" t="s">
        <v>45</v>
      </c>
      <c r="J821" t="str">
        <f>INDEX(Table1[ICD-10 Code],MATCH(Table2[[#This Row],[Treatment]],Table1[Treatment Type],0))</f>
        <v>Z01.2</v>
      </c>
      <c r="K821" t="s">
        <v>38</v>
      </c>
      <c r="L821" t="s">
        <v>28</v>
      </c>
      <c r="M821" t="s">
        <v>29</v>
      </c>
      <c r="N821">
        <f>Table2[[#This Row],[Total Paid]]+Table2[[#This Row],[Due]]</f>
        <v>0</v>
      </c>
      <c r="O821">
        <v>0</v>
      </c>
      <c r="P821">
        <v>0</v>
      </c>
      <c r="Q821">
        <v>0</v>
      </c>
      <c r="R821">
        <v>0</v>
      </c>
      <c r="S821">
        <v>0</v>
      </c>
      <c r="T821">
        <v>0</v>
      </c>
      <c r="U821">
        <v>0</v>
      </c>
      <c r="V821">
        <v>0</v>
      </c>
      <c r="W821" t="s">
        <v>51</v>
      </c>
      <c r="X821" s="6" t="s">
        <v>1261</v>
      </c>
    </row>
    <row r="822" spans="1:24" hidden="1" x14ac:dyDescent="0.25">
      <c r="A822" t="s">
        <v>1265</v>
      </c>
      <c r="B822" t="s">
        <v>314</v>
      </c>
      <c r="C822" t="s">
        <v>24</v>
      </c>
      <c r="D822">
        <v>80</v>
      </c>
      <c r="E822" s="1">
        <v>45454</v>
      </c>
      <c r="F822" t="s">
        <v>88</v>
      </c>
      <c r="G822" t="s">
        <v>26</v>
      </c>
      <c r="H822" t="str">
        <f>INDEX(Table1[Diagnosis],MATCH(I822,'codeand diagnosis'!$A$2:$A$11,0))</f>
        <v>Dental examination with radiology</v>
      </c>
      <c r="I822" t="s">
        <v>37</v>
      </c>
      <c r="J822" t="str">
        <f>INDEX(Table1[ICD-10 Code],MATCH(Table2[[#This Row],[Treatment]],Table1[Treatment Type],0))</f>
        <v>Z01.2</v>
      </c>
      <c r="K822" t="s">
        <v>28</v>
      </c>
      <c r="L822" t="s">
        <v>38</v>
      </c>
      <c r="M822" t="s">
        <v>61</v>
      </c>
      <c r="N822">
        <f>Table2[[#This Row],[Total Paid]]+Table2[[#This Row],[Due]]</f>
        <v>350</v>
      </c>
      <c r="O822">
        <v>0</v>
      </c>
      <c r="P822">
        <v>150</v>
      </c>
      <c r="Q822">
        <v>200</v>
      </c>
      <c r="R822">
        <v>0</v>
      </c>
      <c r="S822">
        <v>0</v>
      </c>
      <c r="T822">
        <v>350</v>
      </c>
      <c r="U822">
        <v>0</v>
      </c>
      <c r="V822">
        <v>350</v>
      </c>
      <c r="W822" t="s">
        <v>51</v>
      </c>
      <c r="X822" s="6" t="s">
        <v>1261</v>
      </c>
    </row>
    <row r="823" spans="1:24" hidden="1" x14ac:dyDescent="0.25">
      <c r="A823" t="s">
        <v>1266</v>
      </c>
      <c r="B823" t="s">
        <v>148</v>
      </c>
      <c r="C823" t="s">
        <v>24</v>
      </c>
      <c r="D823">
        <v>45</v>
      </c>
      <c r="E823" s="1">
        <v>45484</v>
      </c>
      <c r="F823" t="s">
        <v>50</v>
      </c>
      <c r="G823" t="s">
        <v>36</v>
      </c>
      <c r="H823" t="str">
        <f>INDEX(Table1[Diagnosis],MATCH(I823,'codeand diagnosis'!$A$2:$A$11,0))</f>
        <v>Dental caries</v>
      </c>
      <c r="I823" t="s">
        <v>41</v>
      </c>
      <c r="J823" t="str">
        <f>INDEX(Table1[ICD-10 Code],MATCH(Table2[[#This Row],[Treatment]],Table1[Treatment Type],0))</f>
        <v>K02.9</v>
      </c>
      <c r="K823" t="s">
        <v>28</v>
      </c>
      <c r="L823" t="s">
        <v>28</v>
      </c>
      <c r="M823" t="s">
        <v>29</v>
      </c>
      <c r="N823">
        <f>Table2[[#This Row],[Total Paid]]+Table2[[#This Row],[Due]]</f>
        <v>724</v>
      </c>
      <c r="O823">
        <v>724</v>
      </c>
      <c r="P823">
        <v>0</v>
      </c>
      <c r="Q823">
        <v>0</v>
      </c>
      <c r="R823">
        <v>0</v>
      </c>
      <c r="S823">
        <v>0</v>
      </c>
      <c r="T823">
        <v>724</v>
      </c>
      <c r="U823">
        <v>0</v>
      </c>
      <c r="V823">
        <v>724</v>
      </c>
      <c r="W823" t="s">
        <v>47</v>
      </c>
      <c r="X823" s="6" t="s">
        <v>1261</v>
      </c>
    </row>
    <row r="824" spans="1:24" hidden="1" x14ac:dyDescent="0.25">
      <c r="A824" t="s">
        <v>1267</v>
      </c>
      <c r="B824" t="s">
        <v>161</v>
      </c>
      <c r="C824" t="s">
        <v>24</v>
      </c>
      <c r="D824">
        <v>67</v>
      </c>
      <c r="E824" s="1">
        <v>45484</v>
      </c>
      <c r="F824" t="s">
        <v>132</v>
      </c>
      <c r="G824" t="s">
        <v>36</v>
      </c>
      <c r="H824" t="str">
        <f>INDEX(Table1[Diagnosis],MATCH(I824,'codeand diagnosis'!$A$2:$A$11,0))</f>
        <v>Dental examination with radiology</v>
      </c>
      <c r="I824" t="s">
        <v>37</v>
      </c>
      <c r="J824" t="str">
        <f>INDEX(Table1[ICD-10 Code],MATCH(Table2[[#This Row],[Treatment]],Table1[Treatment Type],0))</f>
        <v>Z01.2</v>
      </c>
      <c r="K824" t="s">
        <v>28</v>
      </c>
      <c r="L824" t="s">
        <v>38</v>
      </c>
      <c r="M824" t="s">
        <v>46</v>
      </c>
      <c r="N824">
        <f>Table2[[#This Row],[Total Paid]]+Table2[[#This Row],[Due]]</f>
        <v>350</v>
      </c>
      <c r="O824">
        <v>0</v>
      </c>
      <c r="P824">
        <v>150</v>
      </c>
      <c r="Q824">
        <v>200</v>
      </c>
      <c r="R824">
        <v>0</v>
      </c>
      <c r="S824">
        <v>0</v>
      </c>
      <c r="T824">
        <v>350</v>
      </c>
      <c r="U824">
        <v>0</v>
      </c>
      <c r="V824">
        <v>350</v>
      </c>
      <c r="W824" t="s">
        <v>51</v>
      </c>
      <c r="X824" s="6" t="s">
        <v>1261</v>
      </c>
    </row>
    <row r="825" spans="1:24" hidden="1" x14ac:dyDescent="0.25">
      <c r="A825" t="s">
        <v>1268</v>
      </c>
      <c r="B825" t="s">
        <v>451</v>
      </c>
      <c r="C825" t="s">
        <v>24</v>
      </c>
      <c r="D825">
        <v>53</v>
      </c>
      <c r="E825" s="1">
        <v>45515</v>
      </c>
      <c r="F825" t="s">
        <v>35</v>
      </c>
      <c r="G825" t="s">
        <v>36</v>
      </c>
      <c r="H825" t="str">
        <f>INDEX(Table1[Diagnosis],MATCH(I825,'codeand diagnosis'!$A$2:$A$11,0))</f>
        <v>Dental examination with radiology</v>
      </c>
      <c r="I825" t="s">
        <v>37</v>
      </c>
      <c r="J825" t="str">
        <f>INDEX(Table1[ICD-10 Code],MATCH(Table2[[#This Row],[Treatment]],Table1[Treatment Type],0))</f>
        <v>Z01.2</v>
      </c>
      <c r="K825" t="s">
        <v>28</v>
      </c>
      <c r="L825" t="s">
        <v>38</v>
      </c>
      <c r="M825" t="s">
        <v>29</v>
      </c>
      <c r="N825">
        <f>Table2[[#This Row],[Total Paid]]+Table2[[#This Row],[Due]]</f>
        <v>350</v>
      </c>
      <c r="O825">
        <v>0</v>
      </c>
      <c r="P825">
        <v>150</v>
      </c>
      <c r="Q825">
        <v>200</v>
      </c>
      <c r="R825">
        <v>0</v>
      </c>
      <c r="S825">
        <v>0</v>
      </c>
      <c r="T825">
        <v>350</v>
      </c>
      <c r="U825">
        <v>0</v>
      </c>
      <c r="V825">
        <v>350</v>
      </c>
      <c r="W825" t="s">
        <v>51</v>
      </c>
      <c r="X825" s="6" t="s">
        <v>1261</v>
      </c>
    </row>
    <row r="826" spans="1:24" hidden="1" x14ac:dyDescent="0.25">
      <c r="A826" t="s">
        <v>1269</v>
      </c>
      <c r="B826" t="s">
        <v>63</v>
      </c>
      <c r="C826" t="s">
        <v>24</v>
      </c>
      <c r="D826">
        <v>9</v>
      </c>
      <c r="E826" s="1">
        <v>45515</v>
      </c>
      <c r="F826" t="s">
        <v>54</v>
      </c>
      <c r="G826" t="s">
        <v>26</v>
      </c>
      <c r="H826" t="str">
        <f>INDEX(Table1[Diagnosis],MATCH(I826,'codeand diagnosis'!$A$2:$A$11,0))</f>
        <v>Dental examination with radiology</v>
      </c>
      <c r="I826" t="s">
        <v>37</v>
      </c>
      <c r="J826" t="str">
        <f>INDEX(Table1[ICD-10 Code],MATCH(Table2[[#This Row],[Treatment]],Table1[Treatment Type],0))</f>
        <v>Z01.2</v>
      </c>
      <c r="K826" t="s">
        <v>38</v>
      </c>
      <c r="L826" t="s">
        <v>38</v>
      </c>
      <c r="M826" t="s">
        <v>46</v>
      </c>
      <c r="N826">
        <f>Table2[[#This Row],[Total Paid]]+Table2[[#This Row],[Due]]</f>
        <v>90</v>
      </c>
      <c r="O826">
        <v>0</v>
      </c>
      <c r="P826">
        <v>150</v>
      </c>
      <c r="Q826">
        <v>0</v>
      </c>
      <c r="R826">
        <v>0</v>
      </c>
      <c r="S826">
        <v>60</v>
      </c>
      <c r="T826">
        <v>90</v>
      </c>
      <c r="U826">
        <v>0</v>
      </c>
      <c r="V826">
        <v>90</v>
      </c>
      <c r="W826" t="s">
        <v>42</v>
      </c>
      <c r="X826" s="6" t="s">
        <v>1261</v>
      </c>
    </row>
    <row r="827" spans="1:24" hidden="1" x14ac:dyDescent="0.25">
      <c r="A827" t="s">
        <v>1270</v>
      </c>
      <c r="B827" t="s">
        <v>188</v>
      </c>
      <c r="C827" t="s">
        <v>34</v>
      </c>
      <c r="D827">
        <v>10</v>
      </c>
      <c r="E827" s="1">
        <v>45546</v>
      </c>
      <c r="F827" t="s">
        <v>92</v>
      </c>
      <c r="G827" t="s">
        <v>26</v>
      </c>
      <c r="H827" t="str">
        <f>INDEX(Table1[Diagnosis],MATCH(I827,'codeand diagnosis'!$A$2:$A$11,0))</f>
        <v>Gingivitis</v>
      </c>
      <c r="I827" t="s">
        <v>27</v>
      </c>
      <c r="J827" t="str">
        <f>INDEX(Table1[ICD-10 Code],MATCH(Table2[[#This Row],[Treatment]],Table1[Treatment Type],0))</f>
        <v>K05.10</v>
      </c>
      <c r="K827" t="s">
        <v>28</v>
      </c>
      <c r="L827" t="s">
        <v>38</v>
      </c>
      <c r="M827" t="s">
        <v>29</v>
      </c>
      <c r="N827">
        <f>Table2[[#This Row],[Total Paid]]+Table2[[#This Row],[Due]]</f>
        <v>627</v>
      </c>
      <c r="O827">
        <v>627</v>
      </c>
      <c r="P827">
        <v>0</v>
      </c>
      <c r="Q827">
        <v>0</v>
      </c>
      <c r="R827">
        <v>0</v>
      </c>
      <c r="S827">
        <v>0</v>
      </c>
      <c r="T827">
        <v>627</v>
      </c>
      <c r="U827">
        <v>0</v>
      </c>
      <c r="V827">
        <v>627</v>
      </c>
      <c r="W827" t="s">
        <v>47</v>
      </c>
      <c r="X827" s="6" t="s">
        <v>1261</v>
      </c>
    </row>
    <row r="828" spans="1:24" hidden="1" x14ac:dyDescent="0.25">
      <c r="A828" t="s">
        <v>1271</v>
      </c>
      <c r="B828" t="s">
        <v>121</v>
      </c>
      <c r="C828" t="s">
        <v>34</v>
      </c>
      <c r="D828">
        <v>7</v>
      </c>
      <c r="E828" t="s">
        <v>1272</v>
      </c>
      <c r="F828" t="s">
        <v>88</v>
      </c>
      <c r="G828" t="s">
        <v>26</v>
      </c>
      <c r="H828" t="str">
        <f>INDEX(Table1[Diagnosis],MATCH(I828,'codeand diagnosis'!$A$2:$A$11,0))</f>
        <v>Pulpitis</v>
      </c>
      <c r="I828" t="s">
        <v>111</v>
      </c>
      <c r="J828" t="str">
        <f>INDEX(Table1[ICD-10 Code],MATCH(Table2[[#This Row],[Treatment]],Table1[Treatment Type],0))</f>
        <v>K04.0</v>
      </c>
      <c r="K828" t="s">
        <v>28</v>
      </c>
      <c r="L828" t="s">
        <v>38</v>
      </c>
      <c r="M828" t="s">
        <v>29</v>
      </c>
      <c r="N828">
        <f>Table2[[#This Row],[Total Paid]]+Table2[[#This Row],[Due]]</f>
        <v>2346</v>
      </c>
      <c r="O828">
        <v>2846</v>
      </c>
      <c r="P828">
        <v>0</v>
      </c>
      <c r="Q828">
        <v>0</v>
      </c>
      <c r="R828">
        <v>0</v>
      </c>
      <c r="S828">
        <v>500</v>
      </c>
      <c r="T828">
        <v>2346</v>
      </c>
      <c r="U828">
        <v>0</v>
      </c>
      <c r="V828">
        <v>2346</v>
      </c>
      <c r="W828" t="s">
        <v>42</v>
      </c>
      <c r="X828" s="6" t="s">
        <v>1261</v>
      </c>
    </row>
    <row r="829" spans="1:24" hidden="1" x14ac:dyDescent="0.25">
      <c r="A829" t="s">
        <v>1273</v>
      </c>
      <c r="B829" t="s">
        <v>304</v>
      </c>
      <c r="C829" t="s">
        <v>34</v>
      </c>
      <c r="D829">
        <v>13</v>
      </c>
      <c r="E829" t="s">
        <v>1274</v>
      </c>
      <c r="F829" t="s">
        <v>92</v>
      </c>
      <c r="G829" t="s">
        <v>36</v>
      </c>
      <c r="H829" t="str">
        <f>INDEX(Table1[Diagnosis],MATCH(I829,'codeand diagnosis'!$A$2:$A$11,0))</f>
        <v>Dental examination with radiology</v>
      </c>
      <c r="I829" t="s">
        <v>37</v>
      </c>
      <c r="J829" t="str">
        <f>INDEX(Table1[ICD-10 Code],MATCH(Table2[[#This Row],[Treatment]],Table1[Treatment Type],0))</f>
        <v>Z01.2</v>
      </c>
      <c r="K829" t="s">
        <v>38</v>
      </c>
      <c r="L829" t="s">
        <v>38</v>
      </c>
      <c r="M829" t="s">
        <v>29</v>
      </c>
      <c r="N829">
        <f>Table2[[#This Row],[Total Paid]]+Table2[[#This Row],[Due]]</f>
        <v>150</v>
      </c>
      <c r="O829">
        <v>0</v>
      </c>
      <c r="P829">
        <v>150</v>
      </c>
      <c r="Q829">
        <v>0</v>
      </c>
      <c r="R829">
        <v>0</v>
      </c>
      <c r="S829">
        <v>0</v>
      </c>
      <c r="T829">
        <v>150</v>
      </c>
      <c r="U829">
        <v>0</v>
      </c>
      <c r="V829">
        <v>150</v>
      </c>
      <c r="W829" t="s">
        <v>51</v>
      </c>
      <c r="X829" s="6" t="s">
        <v>1261</v>
      </c>
    </row>
    <row r="830" spans="1:24" hidden="1" x14ac:dyDescent="0.25">
      <c r="A830" t="s">
        <v>1275</v>
      </c>
      <c r="B830" t="s">
        <v>304</v>
      </c>
      <c r="C830" t="s">
        <v>34</v>
      </c>
      <c r="D830">
        <v>80</v>
      </c>
      <c r="E830" t="s">
        <v>1274</v>
      </c>
      <c r="F830" t="s">
        <v>88</v>
      </c>
      <c r="G830" t="s">
        <v>26</v>
      </c>
      <c r="H830" t="str">
        <f>INDEX(Table1[Diagnosis],MATCH(I830,'codeand diagnosis'!$A$2:$A$11,0))</f>
        <v>Dental examination</v>
      </c>
      <c r="I830" t="s">
        <v>45</v>
      </c>
      <c r="J830" t="str">
        <f>INDEX(Table1[ICD-10 Code],MATCH(Table2[[#This Row],[Treatment]],Table1[Treatment Type],0))</f>
        <v>Z01.2</v>
      </c>
      <c r="K830" t="s">
        <v>28</v>
      </c>
      <c r="L830" t="s">
        <v>28</v>
      </c>
      <c r="M830" t="s">
        <v>29</v>
      </c>
      <c r="N830">
        <f>Table2[[#This Row],[Total Paid]]+Table2[[#This Row],[Due]]</f>
        <v>200</v>
      </c>
      <c r="O830">
        <v>0</v>
      </c>
      <c r="P830">
        <v>0</v>
      </c>
      <c r="Q830">
        <v>200</v>
      </c>
      <c r="R830">
        <v>0</v>
      </c>
      <c r="S830">
        <v>0</v>
      </c>
      <c r="T830">
        <v>200</v>
      </c>
      <c r="U830">
        <v>0</v>
      </c>
      <c r="V830">
        <v>200</v>
      </c>
      <c r="W830" t="s">
        <v>51</v>
      </c>
      <c r="X830" s="6" t="s">
        <v>1261</v>
      </c>
    </row>
    <row r="831" spans="1:24" hidden="1" x14ac:dyDescent="0.25">
      <c r="A831" t="s">
        <v>1276</v>
      </c>
      <c r="B831" t="s">
        <v>268</v>
      </c>
      <c r="C831" t="s">
        <v>34</v>
      </c>
      <c r="D831">
        <v>59</v>
      </c>
      <c r="E831" t="s">
        <v>1277</v>
      </c>
      <c r="F831" t="s">
        <v>168</v>
      </c>
      <c r="G831" t="s">
        <v>26</v>
      </c>
      <c r="H831" t="str">
        <f>INDEX(Table1[Diagnosis],MATCH(I831,'codeand diagnosis'!$A$2:$A$11,0))</f>
        <v>Gingivitis</v>
      </c>
      <c r="I831" t="s">
        <v>27</v>
      </c>
      <c r="J831" t="str">
        <f>INDEX(Table1[ICD-10 Code],MATCH(Table2[[#This Row],[Treatment]],Table1[Treatment Type],0))</f>
        <v>K05.10</v>
      </c>
      <c r="K831" t="s">
        <v>38</v>
      </c>
      <c r="L831" t="s">
        <v>38</v>
      </c>
      <c r="M831" t="s">
        <v>46</v>
      </c>
      <c r="N831">
        <f>Table2[[#This Row],[Total Paid]]+Table2[[#This Row],[Due]]</f>
        <v>646</v>
      </c>
      <c r="O831">
        <v>646</v>
      </c>
      <c r="P831">
        <v>0</v>
      </c>
      <c r="Q831">
        <v>0</v>
      </c>
      <c r="R831">
        <v>0</v>
      </c>
      <c r="S831">
        <v>0</v>
      </c>
      <c r="T831">
        <v>646</v>
      </c>
      <c r="U831">
        <v>0</v>
      </c>
      <c r="V831">
        <v>646</v>
      </c>
      <c r="W831" t="s">
        <v>30</v>
      </c>
      <c r="X831" s="6" t="s">
        <v>1261</v>
      </c>
    </row>
    <row r="832" spans="1:24" hidden="1" x14ac:dyDescent="0.25">
      <c r="A832" t="s">
        <v>1278</v>
      </c>
      <c r="B832" t="s">
        <v>211</v>
      </c>
      <c r="C832" t="s">
        <v>34</v>
      </c>
      <c r="D832">
        <v>47</v>
      </c>
      <c r="E832" t="s">
        <v>1277</v>
      </c>
      <c r="F832" t="s">
        <v>35</v>
      </c>
      <c r="G832" t="s">
        <v>26</v>
      </c>
      <c r="H832" t="str">
        <f>INDEX(Table1[Diagnosis],MATCH(I832,'codeand diagnosis'!$A$2:$A$11,0))</f>
        <v>Dental examination with radiology</v>
      </c>
      <c r="I832" t="s">
        <v>37</v>
      </c>
      <c r="J832" t="str">
        <f>INDEX(Table1[ICD-10 Code],MATCH(Table2[[#This Row],[Treatment]],Table1[Treatment Type],0))</f>
        <v>Z01.2</v>
      </c>
      <c r="K832" t="s">
        <v>28</v>
      </c>
      <c r="L832" t="s">
        <v>38</v>
      </c>
      <c r="M832" t="s">
        <v>29</v>
      </c>
      <c r="N832">
        <f>Table2[[#This Row],[Total Paid]]+Table2[[#This Row],[Due]]</f>
        <v>350</v>
      </c>
      <c r="O832">
        <v>0</v>
      </c>
      <c r="P832">
        <v>150</v>
      </c>
      <c r="Q832">
        <v>200</v>
      </c>
      <c r="R832">
        <v>0</v>
      </c>
      <c r="S832">
        <v>0</v>
      </c>
      <c r="T832">
        <v>350</v>
      </c>
      <c r="U832">
        <v>0</v>
      </c>
      <c r="V832">
        <v>350</v>
      </c>
      <c r="W832" t="s">
        <v>30</v>
      </c>
      <c r="X832" s="6" t="s">
        <v>1261</v>
      </c>
    </row>
    <row r="833" spans="1:24" hidden="1" x14ac:dyDescent="0.25">
      <c r="A833" t="s">
        <v>1279</v>
      </c>
      <c r="B833" t="s">
        <v>314</v>
      </c>
      <c r="C833" t="s">
        <v>24</v>
      </c>
      <c r="D833">
        <v>51</v>
      </c>
      <c r="E833" t="s">
        <v>1280</v>
      </c>
      <c r="F833" t="s">
        <v>50</v>
      </c>
      <c r="G833" t="s">
        <v>36</v>
      </c>
      <c r="H833" t="str">
        <f>INDEX(Table1[Diagnosis],MATCH(I833,'codeand diagnosis'!$A$2:$A$11,0))</f>
        <v>Dental examination with radiology</v>
      </c>
      <c r="I833" t="s">
        <v>37</v>
      </c>
      <c r="J833" t="str">
        <f>INDEX(Table1[ICD-10 Code],MATCH(Table2[[#This Row],[Treatment]],Table1[Treatment Type],0))</f>
        <v>Z01.2</v>
      </c>
      <c r="K833" t="s">
        <v>28</v>
      </c>
      <c r="L833" t="s">
        <v>38</v>
      </c>
      <c r="M833" t="s">
        <v>29</v>
      </c>
      <c r="N833">
        <f>Table2[[#This Row],[Total Paid]]+Table2[[#This Row],[Due]]</f>
        <v>350</v>
      </c>
      <c r="O833">
        <v>0</v>
      </c>
      <c r="P833">
        <v>150</v>
      </c>
      <c r="Q833">
        <v>200</v>
      </c>
      <c r="R833">
        <v>0</v>
      </c>
      <c r="S833">
        <v>0</v>
      </c>
      <c r="T833">
        <v>350</v>
      </c>
      <c r="U833">
        <v>0</v>
      </c>
      <c r="V833">
        <v>350</v>
      </c>
      <c r="W833" t="s">
        <v>51</v>
      </c>
      <c r="X833" s="6" t="s">
        <v>1261</v>
      </c>
    </row>
    <row r="834" spans="1:24" hidden="1" x14ac:dyDescent="0.25">
      <c r="A834" t="s">
        <v>1281</v>
      </c>
      <c r="B834" t="s">
        <v>363</v>
      </c>
      <c r="C834" t="s">
        <v>34</v>
      </c>
      <c r="D834">
        <v>66</v>
      </c>
      <c r="E834" t="s">
        <v>1280</v>
      </c>
      <c r="F834" t="s">
        <v>50</v>
      </c>
      <c r="G834" t="s">
        <v>36</v>
      </c>
      <c r="H834" t="str">
        <f>INDEX(Table1[Diagnosis],MATCH(I834,'codeand diagnosis'!$A$2:$A$11,0))</f>
        <v>Dental caries</v>
      </c>
      <c r="I834" t="s">
        <v>41</v>
      </c>
      <c r="J834" t="str">
        <f>INDEX(Table1[ICD-10 Code],MATCH(Table2[[#This Row],[Treatment]],Table1[Treatment Type],0))</f>
        <v>K02.9</v>
      </c>
      <c r="K834" t="s">
        <v>28</v>
      </c>
      <c r="L834" t="s">
        <v>38</v>
      </c>
      <c r="M834" t="s">
        <v>61</v>
      </c>
      <c r="N834">
        <f>Table2[[#This Row],[Total Paid]]+Table2[[#This Row],[Due]]</f>
        <v>1014</v>
      </c>
      <c r="O834">
        <v>1014</v>
      </c>
      <c r="P834">
        <v>0</v>
      </c>
      <c r="Q834">
        <v>0</v>
      </c>
      <c r="R834">
        <v>0</v>
      </c>
      <c r="S834">
        <v>0</v>
      </c>
      <c r="T834">
        <v>1014</v>
      </c>
      <c r="U834">
        <v>0</v>
      </c>
      <c r="V834">
        <v>1014</v>
      </c>
      <c r="W834" t="s">
        <v>47</v>
      </c>
      <c r="X834" s="6" t="s">
        <v>1261</v>
      </c>
    </row>
    <row r="835" spans="1:24" hidden="1" x14ac:dyDescent="0.25">
      <c r="A835" t="s">
        <v>1282</v>
      </c>
      <c r="B835" t="s">
        <v>137</v>
      </c>
      <c r="C835" t="s">
        <v>24</v>
      </c>
      <c r="D835">
        <v>18</v>
      </c>
      <c r="E835" t="s">
        <v>1283</v>
      </c>
      <c r="F835" t="s">
        <v>50</v>
      </c>
      <c r="G835" t="s">
        <v>26</v>
      </c>
      <c r="H835" t="str">
        <f>INDEX(Table1[Diagnosis],MATCH(I835,'codeand diagnosis'!$A$2:$A$11,0))</f>
        <v>Dental examination with radiology</v>
      </c>
      <c r="I835" t="s">
        <v>37</v>
      </c>
      <c r="J835" t="str">
        <f>INDEX(Table1[ICD-10 Code],MATCH(Table2[[#This Row],[Treatment]],Table1[Treatment Type],0))</f>
        <v>Z01.2</v>
      </c>
      <c r="K835" t="s">
        <v>28</v>
      </c>
      <c r="L835" t="s">
        <v>38</v>
      </c>
      <c r="M835" t="s">
        <v>46</v>
      </c>
      <c r="N835">
        <f>Table2[[#This Row],[Total Paid]]+Table2[[#This Row],[Due]]</f>
        <v>350</v>
      </c>
      <c r="O835">
        <v>0</v>
      </c>
      <c r="P835">
        <v>150</v>
      </c>
      <c r="Q835">
        <v>200</v>
      </c>
      <c r="R835">
        <v>0</v>
      </c>
      <c r="S835">
        <v>0</v>
      </c>
      <c r="T835">
        <v>350</v>
      </c>
      <c r="U835">
        <v>0</v>
      </c>
      <c r="V835">
        <v>350</v>
      </c>
      <c r="W835" t="s">
        <v>51</v>
      </c>
      <c r="X835" s="6" t="s">
        <v>1261</v>
      </c>
    </row>
    <row r="836" spans="1:24" hidden="1" x14ac:dyDescent="0.25">
      <c r="A836" t="s">
        <v>1284</v>
      </c>
      <c r="B836" t="s">
        <v>109</v>
      </c>
      <c r="C836" t="s">
        <v>34</v>
      </c>
      <c r="D836">
        <v>50</v>
      </c>
      <c r="E836" t="s">
        <v>1285</v>
      </c>
      <c r="F836" t="s">
        <v>88</v>
      </c>
      <c r="G836" t="s">
        <v>26</v>
      </c>
      <c r="H836" t="str">
        <f>INDEX(Table1[Diagnosis],MATCH(I836,'codeand diagnosis'!$A$2:$A$11,0))</f>
        <v>Dental examination with radiology</v>
      </c>
      <c r="I836" t="s">
        <v>37</v>
      </c>
      <c r="J836" t="str">
        <f>INDEX(Table1[ICD-10 Code],MATCH(Table2[[#This Row],[Treatment]],Table1[Treatment Type],0))</f>
        <v>Z01.2</v>
      </c>
      <c r="K836" t="s">
        <v>38</v>
      </c>
      <c r="L836" t="s">
        <v>38</v>
      </c>
      <c r="M836" t="s">
        <v>29</v>
      </c>
      <c r="N836">
        <f>Table2[[#This Row],[Total Paid]]+Table2[[#This Row],[Due]]</f>
        <v>90</v>
      </c>
      <c r="O836">
        <v>0</v>
      </c>
      <c r="P836">
        <v>150</v>
      </c>
      <c r="Q836">
        <v>0</v>
      </c>
      <c r="R836">
        <v>0</v>
      </c>
      <c r="S836">
        <v>60</v>
      </c>
      <c r="T836">
        <v>90</v>
      </c>
      <c r="U836">
        <v>0</v>
      </c>
      <c r="V836">
        <v>90</v>
      </c>
      <c r="W836" t="s">
        <v>51</v>
      </c>
      <c r="X836" s="6" t="s">
        <v>1261</v>
      </c>
    </row>
    <row r="837" spans="1:24" hidden="1" x14ac:dyDescent="0.25">
      <c r="A837" t="s">
        <v>1286</v>
      </c>
      <c r="B837" t="s">
        <v>73</v>
      </c>
      <c r="C837" t="s">
        <v>34</v>
      </c>
      <c r="D837">
        <v>31</v>
      </c>
      <c r="E837" t="s">
        <v>1285</v>
      </c>
      <c r="F837" t="s">
        <v>88</v>
      </c>
      <c r="G837" t="s">
        <v>36</v>
      </c>
      <c r="H837" t="str">
        <f>INDEX(Table1[Diagnosis],MATCH(I837,'codeand diagnosis'!$A$2:$A$11,0))</f>
        <v>Dental caries</v>
      </c>
      <c r="I837" t="s">
        <v>41</v>
      </c>
      <c r="J837" t="str">
        <f>INDEX(Table1[ICD-10 Code],MATCH(Table2[[#This Row],[Treatment]],Table1[Treatment Type],0))</f>
        <v>K02.9</v>
      </c>
      <c r="K837" t="s">
        <v>28</v>
      </c>
      <c r="L837" t="s">
        <v>38</v>
      </c>
      <c r="M837" t="s">
        <v>29</v>
      </c>
      <c r="N837">
        <f>Table2[[#This Row],[Total Paid]]+Table2[[#This Row],[Due]]</f>
        <v>644</v>
      </c>
      <c r="O837">
        <v>644</v>
      </c>
      <c r="P837">
        <v>0</v>
      </c>
      <c r="Q837">
        <v>0</v>
      </c>
      <c r="R837">
        <v>0</v>
      </c>
      <c r="S837">
        <v>0</v>
      </c>
      <c r="T837">
        <v>644</v>
      </c>
      <c r="U837">
        <v>0</v>
      </c>
      <c r="V837">
        <v>644</v>
      </c>
      <c r="W837" t="s">
        <v>42</v>
      </c>
      <c r="X837" s="6" t="s">
        <v>1261</v>
      </c>
    </row>
    <row r="838" spans="1:24" hidden="1" x14ac:dyDescent="0.25">
      <c r="A838" t="s">
        <v>1287</v>
      </c>
      <c r="B838" t="s">
        <v>151</v>
      </c>
      <c r="C838" t="s">
        <v>24</v>
      </c>
      <c r="D838">
        <v>22</v>
      </c>
      <c r="E838" t="s">
        <v>1285</v>
      </c>
      <c r="F838" t="s">
        <v>25</v>
      </c>
      <c r="G838" t="s">
        <v>26</v>
      </c>
      <c r="H838" t="str">
        <f>INDEX(Table1[Diagnosis],MATCH(I838,'codeand diagnosis'!$A$2:$A$11,0))</f>
        <v>Pulpitis</v>
      </c>
      <c r="I838" t="s">
        <v>111</v>
      </c>
      <c r="J838" t="str">
        <f>INDEX(Table1[ICD-10 Code],MATCH(Table2[[#This Row],[Treatment]],Table1[Treatment Type],0))</f>
        <v>K04.0</v>
      </c>
      <c r="K838" t="s">
        <v>38</v>
      </c>
      <c r="L838" t="s">
        <v>28</v>
      </c>
      <c r="M838" t="s">
        <v>29</v>
      </c>
      <c r="N838">
        <f>Table2[[#This Row],[Total Paid]]+Table2[[#This Row],[Due]]</f>
        <v>2757</v>
      </c>
      <c r="O838">
        <v>2757</v>
      </c>
      <c r="P838">
        <v>0</v>
      </c>
      <c r="Q838">
        <v>0</v>
      </c>
      <c r="R838">
        <v>0</v>
      </c>
      <c r="S838">
        <v>0</v>
      </c>
      <c r="T838">
        <v>2757</v>
      </c>
      <c r="U838">
        <v>0</v>
      </c>
      <c r="V838">
        <v>2757</v>
      </c>
      <c r="W838" t="s">
        <v>30</v>
      </c>
      <c r="X838" s="6" t="s">
        <v>1261</v>
      </c>
    </row>
    <row r="839" spans="1:24" hidden="1" x14ac:dyDescent="0.25">
      <c r="A839" t="s">
        <v>1288</v>
      </c>
      <c r="B839" t="s">
        <v>91</v>
      </c>
      <c r="C839" t="s">
        <v>34</v>
      </c>
      <c r="D839">
        <v>63</v>
      </c>
      <c r="E839" t="s">
        <v>1289</v>
      </c>
      <c r="F839" t="s">
        <v>50</v>
      </c>
      <c r="G839" t="s">
        <v>36</v>
      </c>
      <c r="H839" t="str">
        <f>INDEX(Table1[Diagnosis],MATCH(I839,'codeand diagnosis'!$A$2:$A$11,0))</f>
        <v>Dental examination with radiology</v>
      </c>
      <c r="I839" t="s">
        <v>37</v>
      </c>
      <c r="J839" t="str">
        <f>INDEX(Table1[ICD-10 Code],MATCH(Table2[[#This Row],[Treatment]],Table1[Treatment Type],0))</f>
        <v>Z01.2</v>
      </c>
      <c r="K839" t="s">
        <v>28</v>
      </c>
      <c r="L839" t="s">
        <v>38</v>
      </c>
      <c r="M839" t="s">
        <v>61</v>
      </c>
      <c r="N839">
        <f>Table2[[#This Row],[Total Paid]]+Table2[[#This Row],[Due]]</f>
        <v>250</v>
      </c>
      <c r="O839">
        <v>0</v>
      </c>
      <c r="P839">
        <v>150</v>
      </c>
      <c r="Q839">
        <v>200</v>
      </c>
      <c r="R839">
        <v>0</v>
      </c>
      <c r="S839">
        <v>100</v>
      </c>
      <c r="T839">
        <v>250</v>
      </c>
      <c r="U839">
        <v>0</v>
      </c>
      <c r="V839">
        <v>250</v>
      </c>
      <c r="W839" t="s">
        <v>51</v>
      </c>
      <c r="X839" s="6" t="s">
        <v>1261</v>
      </c>
    </row>
    <row r="840" spans="1:24" hidden="1" x14ac:dyDescent="0.25">
      <c r="A840" t="s">
        <v>1290</v>
      </c>
      <c r="B840" t="s">
        <v>268</v>
      </c>
      <c r="C840" t="s">
        <v>34</v>
      </c>
      <c r="D840">
        <v>24</v>
      </c>
      <c r="E840" t="s">
        <v>1291</v>
      </c>
      <c r="F840" t="s">
        <v>35</v>
      </c>
      <c r="G840" t="s">
        <v>26</v>
      </c>
      <c r="H840" t="str">
        <f>INDEX(Table1[Diagnosis],MATCH(I840,'codeand diagnosis'!$A$2:$A$11,0))</f>
        <v>Dental examination</v>
      </c>
      <c r="I840" t="s">
        <v>45</v>
      </c>
      <c r="J840" t="str">
        <f>INDEX(Table1[ICD-10 Code],MATCH(Table2[[#This Row],[Treatment]],Table1[Treatment Type],0))</f>
        <v>Z01.2</v>
      </c>
      <c r="K840" t="s">
        <v>28</v>
      </c>
      <c r="L840" t="s">
        <v>28</v>
      </c>
      <c r="M840" t="s">
        <v>29</v>
      </c>
      <c r="N840">
        <f>Table2[[#This Row],[Total Paid]]+Table2[[#This Row],[Due]]</f>
        <v>200</v>
      </c>
      <c r="O840">
        <v>0</v>
      </c>
      <c r="P840">
        <v>0</v>
      </c>
      <c r="Q840">
        <v>200</v>
      </c>
      <c r="R840">
        <v>0</v>
      </c>
      <c r="S840">
        <v>0</v>
      </c>
      <c r="T840">
        <v>200</v>
      </c>
      <c r="U840">
        <v>0</v>
      </c>
      <c r="V840">
        <v>200</v>
      </c>
      <c r="W840" t="s">
        <v>47</v>
      </c>
      <c r="X840" s="6" t="s">
        <v>1261</v>
      </c>
    </row>
    <row r="841" spans="1:24" hidden="1" x14ac:dyDescent="0.25">
      <c r="A841" t="s">
        <v>1292</v>
      </c>
      <c r="B841" t="s">
        <v>86</v>
      </c>
      <c r="C841" t="s">
        <v>34</v>
      </c>
      <c r="D841">
        <v>14</v>
      </c>
      <c r="E841" t="s">
        <v>1291</v>
      </c>
      <c r="F841" t="s">
        <v>88</v>
      </c>
      <c r="G841" t="s">
        <v>36</v>
      </c>
      <c r="H841" t="str">
        <f>INDEX(Table1[Diagnosis],MATCH(I841,'codeand diagnosis'!$A$2:$A$11,0))</f>
        <v>Dental examination</v>
      </c>
      <c r="I841" t="s">
        <v>45</v>
      </c>
      <c r="J841" t="str">
        <f>INDEX(Table1[ICD-10 Code],MATCH(Table2[[#This Row],[Treatment]],Table1[Treatment Type],0))</f>
        <v>Z01.2</v>
      </c>
      <c r="K841" t="s">
        <v>28</v>
      </c>
      <c r="L841" t="s">
        <v>28</v>
      </c>
      <c r="M841" t="s">
        <v>29</v>
      </c>
      <c r="N841">
        <f>Table2[[#This Row],[Total Paid]]+Table2[[#This Row],[Due]]</f>
        <v>120</v>
      </c>
      <c r="O841">
        <v>0</v>
      </c>
      <c r="P841">
        <v>0</v>
      </c>
      <c r="Q841">
        <v>200</v>
      </c>
      <c r="R841">
        <v>0</v>
      </c>
      <c r="S841">
        <v>80</v>
      </c>
      <c r="T841">
        <v>120</v>
      </c>
      <c r="U841">
        <v>0</v>
      </c>
      <c r="V841">
        <v>120</v>
      </c>
      <c r="W841" t="s">
        <v>51</v>
      </c>
      <c r="X841" s="6" t="s">
        <v>1261</v>
      </c>
    </row>
    <row r="842" spans="1:24" hidden="1" x14ac:dyDescent="0.25">
      <c r="A842" t="s">
        <v>1293</v>
      </c>
      <c r="B842" t="s">
        <v>77</v>
      </c>
      <c r="C842" t="s">
        <v>34</v>
      </c>
      <c r="D842">
        <v>24</v>
      </c>
      <c r="E842" t="s">
        <v>1294</v>
      </c>
      <c r="F842" t="s">
        <v>35</v>
      </c>
      <c r="G842" t="s">
        <v>26</v>
      </c>
      <c r="H842" t="str">
        <f>INDEX(Table1[Diagnosis],MATCH(I842,'codeand diagnosis'!$A$2:$A$11,0))</f>
        <v>Dental examination</v>
      </c>
      <c r="I842" t="s">
        <v>45</v>
      </c>
      <c r="J842" t="str">
        <f>INDEX(Table1[ICD-10 Code],MATCH(Table2[[#This Row],[Treatment]],Table1[Treatment Type],0))</f>
        <v>Z01.2</v>
      </c>
      <c r="K842" t="s">
        <v>38</v>
      </c>
      <c r="L842" t="s">
        <v>28</v>
      </c>
      <c r="M842" t="s">
        <v>29</v>
      </c>
      <c r="N842">
        <f>Table2[[#This Row],[Total Paid]]+Table2[[#This Row],[Due]]</f>
        <v>0</v>
      </c>
      <c r="O842">
        <v>0</v>
      </c>
      <c r="P842">
        <v>0</v>
      </c>
      <c r="Q842">
        <v>0</v>
      </c>
      <c r="R842">
        <v>0</v>
      </c>
      <c r="S842">
        <v>0</v>
      </c>
      <c r="T842">
        <v>0</v>
      </c>
      <c r="U842">
        <v>0</v>
      </c>
      <c r="V842">
        <v>0</v>
      </c>
      <c r="W842" t="s">
        <v>42</v>
      </c>
      <c r="X842" s="6" t="s">
        <v>1261</v>
      </c>
    </row>
    <row r="843" spans="1:24" hidden="1" x14ac:dyDescent="0.25">
      <c r="A843" t="s">
        <v>1295</v>
      </c>
      <c r="B843" t="s">
        <v>207</v>
      </c>
      <c r="C843" t="s">
        <v>34</v>
      </c>
      <c r="D843">
        <v>41</v>
      </c>
      <c r="E843" t="s">
        <v>1294</v>
      </c>
      <c r="F843" t="s">
        <v>88</v>
      </c>
      <c r="G843" t="s">
        <v>26</v>
      </c>
      <c r="H843" t="str">
        <f>INDEX(Table1[Diagnosis],MATCH(I843,'codeand diagnosis'!$A$2:$A$11,0))</f>
        <v>Dental examination with radiology</v>
      </c>
      <c r="I843" t="s">
        <v>37</v>
      </c>
      <c r="J843" t="str">
        <f>INDEX(Table1[ICD-10 Code],MATCH(Table2[[#This Row],[Treatment]],Table1[Treatment Type],0))</f>
        <v>Z01.2</v>
      </c>
      <c r="K843" t="s">
        <v>38</v>
      </c>
      <c r="L843" t="s">
        <v>38</v>
      </c>
      <c r="M843" t="s">
        <v>29</v>
      </c>
      <c r="N843">
        <f>Table2[[#This Row],[Total Paid]]+Table2[[#This Row],[Due]]</f>
        <v>150</v>
      </c>
      <c r="O843">
        <v>0</v>
      </c>
      <c r="P843">
        <v>150</v>
      </c>
      <c r="Q843">
        <v>0</v>
      </c>
      <c r="R843">
        <v>0</v>
      </c>
      <c r="S843">
        <v>0</v>
      </c>
      <c r="T843">
        <v>150</v>
      </c>
      <c r="U843">
        <v>0</v>
      </c>
      <c r="V843">
        <v>150</v>
      </c>
      <c r="W843" t="s">
        <v>47</v>
      </c>
      <c r="X843" s="6" t="s">
        <v>1261</v>
      </c>
    </row>
    <row r="844" spans="1:24" hidden="1" x14ac:dyDescent="0.25">
      <c r="A844" t="s">
        <v>1296</v>
      </c>
      <c r="B844" t="s">
        <v>65</v>
      </c>
      <c r="C844" t="s">
        <v>24</v>
      </c>
      <c r="D844">
        <v>64</v>
      </c>
      <c r="E844" t="s">
        <v>1297</v>
      </c>
      <c r="F844" t="s">
        <v>359</v>
      </c>
      <c r="G844" t="s">
        <v>36</v>
      </c>
      <c r="H844" t="str">
        <f>INDEX(Table1[Diagnosis],MATCH(I844,'codeand diagnosis'!$A$2:$A$11,0))</f>
        <v>Dental examination with radiology</v>
      </c>
      <c r="I844" t="s">
        <v>37</v>
      </c>
      <c r="J844" t="str">
        <f>INDEX(Table1[ICD-10 Code],MATCH(Table2[[#This Row],[Treatment]],Table1[Treatment Type],0))</f>
        <v>Z01.2</v>
      </c>
      <c r="K844" t="s">
        <v>38</v>
      </c>
      <c r="L844" t="s">
        <v>38</v>
      </c>
      <c r="M844" t="s">
        <v>29</v>
      </c>
      <c r="N844">
        <f>Table2[[#This Row],[Total Paid]]+Table2[[#This Row],[Due]]</f>
        <v>150</v>
      </c>
      <c r="O844">
        <v>0</v>
      </c>
      <c r="P844">
        <v>150</v>
      </c>
      <c r="Q844">
        <v>0</v>
      </c>
      <c r="R844">
        <v>0</v>
      </c>
      <c r="S844">
        <v>0</v>
      </c>
      <c r="T844">
        <v>150</v>
      </c>
      <c r="U844">
        <v>0</v>
      </c>
      <c r="V844">
        <v>150</v>
      </c>
      <c r="W844" t="s">
        <v>30</v>
      </c>
      <c r="X844" s="6" t="s">
        <v>1261</v>
      </c>
    </row>
    <row r="845" spans="1:24" hidden="1" x14ac:dyDescent="0.25">
      <c r="A845" t="s">
        <v>1298</v>
      </c>
      <c r="B845" t="s">
        <v>137</v>
      </c>
      <c r="C845" t="s">
        <v>24</v>
      </c>
      <c r="D845">
        <v>69</v>
      </c>
      <c r="E845" t="s">
        <v>1297</v>
      </c>
      <c r="F845" t="s">
        <v>50</v>
      </c>
      <c r="G845" t="s">
        <v>26</v>
      </c>
      <c r="H845" t="str">
        <f>INDEX(Table1[Diagnosis],MATCH(I845,'codeand diagnosis'!$A$2:$A$11,0))</f>
        <v>Dental examination</v>
      </c>
      <c r="I845" t="s">
        <v>45</v>
      </c>
      <c r="J845" t="str">
        <f>INDEX(Table1[ICD-10 Code],MATCH(Table2[[#This Row],[Treatment]],Table1[Treatment Type],0))</f>
        <v>Z01.2</v>
      </c>
      <c r="K845" t="s">
        <v>38</v>
      </c>
      <c r="L845" t="s">
        <v>28</v>
      </c>
      <c r="M845" t="s">
        <v>46</v>
      </c>
      <c r="N845">
        <f>Table2[[#This Row],[Total Paid]]+Table2[[#This Row],[Due]]</f>
        <v>0</v>
      </c>
      <c r="O845">
        <v>0</v>
      </c>
      <c r="P845">
        <v>0</v>
      </c>
      <c r="Q845">
        <v>0</v>
      </c>
      <c r="R845">
        <v>0</v>
      </c>
      <c r="S845">
        <v>0</v>
      </c>
      <c r="T845">
        <v>0</v>
      </c>
      <c r="U845">
        <v>0</v>
      </c>
      <c r="V845">
        <v>0</v>
      </c>
      <c r="W845" t="s">
        <v>51</v>
      </c>
      <c r="X845" s="6" t="s">
        <v>1261</v>
      </c>
    </row>
    <row r="846" spans="1:24" x14ac:dyDescent="0.25">
      <c r="A846" t="s">
        <v>1299</v>
      </c>
      <c r="B846" t="s">
        <v>431</v>
      </c>
      <c r="C846" t="s">
        <v>34</v>
      </c>
      <c r="D846">
        <v>5</v>
      </c>
      <c r="E846" t="s">
        <v>1300</v>
      </c>
      <c r="F846" t="s">
        <v>25</v>
      </c>
      <c r="G846" t="s">
        <v>26</v>
      </c>
      <c r="H846" t="str">
        <f>INDEX(Table1[Diagnosis],MATCH(I846,'codeand diagnosis'!$A$2:$A$11,0))</f>
        <v>Dental examination</v>
      </c>
      <c r="I846" t="s">
        <v>45</v>
      </c>
      <c r="J846" t="str">
        <f>INDEX(Table1[ICD-10 Code],MATCH(Table2[[#This Row],[Treatment]],Table1[Treatment Type],0))</f>
        <v>Z01.2</v>
      </c>
      <c r="K846" t="s">
        <v>28</v>
      </c>
      <c r="L846" t="s">
        <v>28</v>
      </c>
      <c r="M846" t="s">
        <v>46</v>
      </c>
      <c r="N846">
        <f>Table2[[#This Row],[Total Paid]]+Table2[[#This Row],[Due]]</f>
        <v>200</v>
      </c>
      <c r="O846">
        <v>0</v>
      </c>
      <c r="P846">
        <v>0</v>
      </c>
      <c r="Q846">
        <v>200</v>
      </c>
      <c r="R846">
        <v>0</v>
      </c>
      <c r="S846">
        <v>0</v>
      </c>
      <c r="T846">
        <v>200</v>
      </c>
      <c r="U846">
        <v>0</v>
      </c>
      <c r="V846">
        <v>200</v>
      </c>
      <c r="W846" t="s">
        <v>42</v>
      </c>
      <c r="X846" s="6" t="s">
        <v>1261</v>
      </c>
    </row>
    <row r="847" spans="1:24" hidden="1" x14ac:dyDescent="0.25">
      <c r="A847" t="s">
        <v>1301</v>
      </c>
      <c r="B847" t="s">
        <v>204</v>
      </c>
      <c r="C847" t="s">
        <v>34</v>
      </c>
      <c r="D847">
        <v>32</v>
      </c>
      <c r="E847" t="s">
        <v>1302</v>
      </c>
      <c r="F847" t="s">
        <v>35</v>
      </c>
      <c r="G847" t="s">
        <v>26</v>
      </c>
      <c r="H847" t="str">
        <f>INDEX(Table1[Diagnosis],MATCH(I847,'codeand diagnosis'!$A$2:$A$11,0))</f>
        <v>Dental examination with radiology</v>
      </c>
      <c r="I847" t="s">
        <v>37</v>
      </c>
      <c r="J847" t="str">
        <f>INDEX(Table1[ICD-10 Code],MATCH(Table2[[#This Row],[Treatment]],Table1[Treatment Type],0))</f>
        <v>Z01.2</v>
      </c>
      <c r="K847" t="s">
        <v>28</v>
      </c>
      <c r="L847" t="s">
        <v>38</v>
      </c>
      <c r="M847" t="s">
        <v>29</v>
      </c>
      <c r="N847">
        <f>Table2[[#This Row],[Total Paid]]+Table2[[#This Row],[Due]]</f>
        <v>350</v>
      </c>
      <c r="O847">
        <v>0</v>
      </c>
      <c r="P847">
        <v>150</v>
      </c>
      <c r="Q847">
        <v>200</v>
      </c>
      <c r="R847">
        <v>0</v>
      </c>
      <c r="S847">
        <v>0</v>
      </c>
      <c r="T847">
        <v>350</v>
      </c>
      <c r="U847">
        <v>0</v>
      </c>
      <c r="V847">
        <v>350</v>
      </c>
      <c r="W847" t="s">
        <v>51</v>
      </c>
      <c r="X847" s="6" t="s">
        <v>1261</v>
      </c>
    </row>
    <row r="848" spans="1:24" hidden="1" x14ac:dyDescent="0.25">
      <c r="A848" t="s">
        <v>1303</v>
      </c>
      <c r="B848" t="s">
        <v>131</v>
      </c>
      <c r="C848" t="s">
        <v>34</v>
      </c>
      <c r="D848">
        <v>18</v>
      </c>
      <c r="E848" t="s">
        <v>1304</v>
      </c>
      <c r="F848" t="s">
        <v>35</v>
      </c>
      <c r="G848" t="s">
        <v>26</v>
      </c>
      <c r="H848" t="str">
        <f>INDEX(Table1[Diagnosis],MATCH(I848,'codeand diagnosis'!$A$2:$A$11,0))</f>
        <v>Dental examination with radiology</v>
      </c>
      <c r="I848" t="s">
        <v>37</v>
      </c>
      <c r="J848" t="str">
        <f>INDEX(Table1[ICD-10 Code],MATCH(Table2[[#This Row],[Treatment]],Table1[Treatment Type],0))</f>
        <v>Z01.2</v>
      </c>
      <c r="K848" t="s">
        <v>38</v>
      </c>
      <c r="L848" t="s">
        <v>38</v>
      </c>
      <c r="M848" t="s">
        <v>29</v>
      </c>
      <c r="N848">
        <f>Table2[[#This Row],[Total Paid]]+Table2[[#This Row],[Due]]</f>
        <v>150</v>
      </c>
      <c r="O848">
        <v>0</v>
      </c>
      <c r="P848">
        <v>150</v>
      </c>
      <c r="Q848">
        <v>0</v>
      </c>
      <c r="R848">
        <v>0</v>
      </c>
      <c r="S848">
        <v>0</v>
      </c>
      <c r="T848">
        <v>150</v>
      </c>
      <c r="U848">
        <v>0</v>
      </c>
      <c r="V848">
        <v>150</v>
      </c>
      <c r="W848" t="s">
        <v>51</v>
      </c>
      <c r="X848" s="6" t="s">
        <v>1261</v>
      </c>
    </row>
    <row r="849" spans="1:24" hidden="1" x14ac:dyDescent="0.25">
      <c r="A849" t="s">
        <v>1305</v>
      </c>
      <c r="B849" t="s">
        <v>369</v>
      </c>
      <c r="C849" t="s">
        <v>24</v>
      </c>
      <c r="D849">
        <v>34</v>
      </c>
      <c r="E849" t="s">
        <v>1306</v>
      </c>
      <c r="F849" t="s">
        <v>35</v>
      </c>
      <c r="G849" t="s">
        <v>36</v>
      </c>
      <c r="H849" t="str">
        <f>INDEX(Table1[Diagnosis],MATCH(I849,'codeand diagnosis'!$A$2:$A$11,0))</f>
        <v>Dental examination</v>
      </c>
      <c r="I849" t="s">
        <v>45</v>
      </c>
      <c r="J849" t="str">
        <f>INDEX(Table1[ICD-10 Code],MATCH(Table2[[#This Row],[Treatment]],Table1[Treatment Type],0))</f>
        <v>Z01.2</v>
      </c>
      <c r="K849" t="s">
        <v>28</v>
      </c>
      <c r="L849" t="s">
        <v>28</v>
      </c>
      <c r="M849" t="s">
        <v>29</v>
      </c>
      <c r="N849">
        <f>Table2[[#This Row],[Total Paid]]+Table2[[#This Row],[Due]]</f>
        <v>200</v>
      </c>
      <c r="O849">
        <v>0</v>
      </c>
      <c r="P849">
        <v>0</v>
      </c>
      <c r="Q849">
        <v>200</v>
      </c>
      <c r="R849">
        <v>0</v>
      </c>
      <c r="S849">
        <v>0</v>
      </c>
      <c r="T849">
        <v>200</v>
      </c>
      <c r="U849">
        <v>0</v>
      </c>
      <c r="V849">
        <v>200</v>
      </c>
      <c r="W849" t="s">
        <v>47</v>
      </c>
      <c r="X849" s="6" t="s">
        <v>1261</v>
      </c>
    </row>
    <row r="850" spans="1:24" hidden="1" x14ac:dyDescent="0.25">
      <c r="A850" t="s">
        <v>1307</v>
      </c>
      <c r="B850" t="s">
        <v>137</v>
      </c>
      <c r="C850" t="s">
        <v>24</v>
      </c>
      <c r="D850">
        <v>77</v>
      </c>
      <c r="E850" s="1">
        <v>45303</v>
      </c>
      <c r="F850" t="s">
        <v>50</v>
      </c>
      <c r="G850" t="s">
        <v>26</v>
      </c>
      <c r="H850" t="str">
        <f>INDEX(Table1[Diagnosis],MATCH(I850,'codeand diagnosis'!$A$2:$A$11,0))</f>
        <v>Dental examination with radiology</v>
      </c>
      <c r="I850" t="s">
        <v>37</v>
      </c>
      <c r="J850" t="str">
        <f>INDEX(Table1[ICD-10 Code],MATCH(Table2[[#This Row],[Treatment]],Table1[Treatment Type],0))</f>
        <v>Z01.2</v>
      </c>
      <c r="K850" t="s">
        <v>28</v>
      </c>
      <c r="L850" t="s">
        <v>38</v>
      </c>
      <c r="M850" t="s">
        <v>29</v>
      </c>
      <c r="N850">
        <f>Table2[[#This Row],[Total Paid]]+Table2[[#This Row],[Due]]</f>
        <v>300</v>
      </c>
      <c r="O850">
        <v>0</v>
      </c>
      <c r="P850">
        <v>150</v>
      </c>
      <c r="Q850">
        <v>200</v>
      </c>
      <c r="R850">
        <v>0</v>
      </c>
      <c r="S850">
        <v>50</v>
      </c>
      <c r="T850">
        <v>300</v>
      </c>
      <c r="U850">
        <v>0</v>
      </c>
      <c r="V850">
        <v>300</v>
      </c>
      <c r="W850" t="s">
        <v>51</v>
      </c>
      <c r="X850" s="6" t="s">
        <v>1308</v>
      </c>
    </row>
    <row r="851" spans="1:24" hidden="1" x14ac:dyDescent="0.25">
      <c r="A851" t="s">
        <v>1309</v>
      </c>
      <c r="B851" t="s">
        <v>182</v>
      </c>
      <c r="C851" t="s">
        <v>24</v>
      </c>
      <c r="D851">
        <v>8</v>
      </c>
      <c r="E851" s="1">
        <v>45334</v>
      </c>
      <c r="F851" t="s">
        <v>35</v>
      </c>
      <c r="G851" t="s">
        <v>26</v>
      </c>
      <c r="H851" t="str">
        <f>INDEX(Table1[Diagnosis],MATCH(I851,'codeand diagnosis'!$A$2:$A$11,0))</f>
        <v>Dental examination with radiology</v>
      </c>
      <c r="I851" t="s">
        <v>37</v>
      </c>
      <c r="J851" t="str">
        <f>INDEX(Table1[ICD-10 Code],MATCH(Table2[[#This Row],[Treatment]],Table1[Treatment Type],0))</f>
        <v>Z01.2</v>
      </c>
      <c r="K851" t="s">
        <v>28</v>
      </c>
      <c r="L851" t="s">
        <v>38</v>
      </c>
      <c r="M851" t="s">
        <v>46</v>
      </c>
      <c r="N851">
        <f>Table2[[#This Row],[Total Paid]]+Table2[[#This Row],[Due]]</f>
        <v>350</v>
      </c>
      <c r="O851">
        <v>0</v>
      </c>
      <c r="P851">
        <v>150</v>
      </c>
      <c r="Q851">
        <v>200</v>
      </c>
      <c r="R851">
        <v>0</v>
      </c>
      <c r="S851">
        <v>0</v>
      </c>
      <c r="T851">
        <v>350</v>
      </c>
      <c r="U851">
        <v>0</v>
      </c>
      <c r="V851">
        <v>350</v>
      </c>
      <c r="W851" t="s">
        <v>47</v>
      </c>
      <c r="X851" s="6" t="s">
        <v>1308</v>
      </c>
    </row>
    <row r="852" spans="1:24" hidden="1" x14ac:dyDescent="0.25">
      <c r="A852" t="s">
        <v>1310</v>
      </c>
      <c r="B852" t="s">
        <v>161</v>
      </c>
      <c r="C852" t="s">
        <v>24</v>
      </c>
      <c r="D852">
        <v>30</v>
      </c>
      <c r="E852" s="1">
        <v>45334</v>
      </c>
      <c r="F852" t="s">
        <v>25</v>
      </c>
      <c r="G852" t="s">
        <v>26</v>
      </c>
      <c r="H852" t="str">
        <f>INDEX(Table1[Diagnosis],MATCH(I852,'codeand diagnosis'!$A$2:$A$11,0))</f>
        <v>Malocclusion</v>
      </c>
      <c r="I852" t="s">
        <v>89</v>
      </c>
      <c r="J852" t="str">
        <f>INDEX(Table1[ICD-10 Code],MATCH(Table2[[#This Row],[Treatment]],Table1[Treatment Type],0))</f>
        <v>K07.4</v>
      </c>
      <c r="K852" t="s">
        <v>38</v>
      </c>
      <c r="L852" t="s">
        <v>28</v>
      </c>
      <c r="M852" t="s">
        <v>46</v>
      </c>
      <c r="N852">
        <f>Table2[[#This Row],[Total Paid]]+Table2[[#This Row],[Due]]</f>
        <v>18482</v>
      </c>
      <c r="O852">
        <v>19232</v>
      </c>
      <c r="P852">
        <v>0</v>
      </c>
      <c r="Q852">
        <v>0</v>
      </c>
      <c r="R852">
        <v>5690</v>
      </c>
      <c r="S852">
        <v>750</v>
      </c>
      <c r="T852">
        <v>18482</v>
      </c>
      <c r="U852">
        <v>0</v>
      </c>
      <c r="V852">
        <v>12792</v>
      </c>
      <c r="W852" t="s">
        <v>51</v>
      </c>
      <c r="X852" s="6" t="s">
        <v>1308</v>
      </c>
    </row>
    <row r="853" spans="1:24" hidden="1" x14ac:dyDescent="0.25">
      <c r="A853" t="s">
        <v>1311</v>
      </c>
      <c r="B853" t="s">
        <v>211</v>
      </c>
      <c r="C853" t="s">
        <v>34</v>
      </c>
      <c r="D853">
        <v>63</v>
      </c>
      <c r="E853" s="1">
        <v>45334</v>
      </c>
      <c r="F853" t="s">
        <v>50</v>
      </c>
      <c r="G853" t="s">
        <v>26</v>
      </c>
      <c r="H853" t="str">
        <f>INDEX(Table1[Diagnosis],MATCH(I853,'codeand diagnosis'!$A$2:$A$11,0))</f>
        <v>Dental examination</v>
      </c>
      <c r="I853" t="s">
        <v>45</v>
      </c>
      <c r="J853" t="str">
        <f>INDEX(Table1[ICD-10 Code],MATCH(Table2[[#This Row],[Treatment]],Table1[Treatment Type],0))</f>
        <v>Z01.2</v>
      </c>
      <c r="K853" t="s">
        <v>28</v>
      </c>
      <c r="L853" t="s">
        <v>28</v>
      </c>
      <c r="M853" t="s">
        <v>29</v>
      </c>
      <c r="N853">
        <f>Table2[[#This Row],[Total Paid]]+Table2[[#This Row],[Due]]</f>
        <v>200</v>
      </c>
      <c r="O853">
        <v>0</v>
      </c>
      <c r="P853">
        <v>0</v>
      </c>
      <c r="Q853">
        <v>200</v>
      </c>
      <c r="R853">
        <v>0</v>
      </c>
      <c r="S853">
        <v>0</v>
      </c>
      <c r="T853">
        <v>200</v>
      </c>
      <c r="U853">
        <v>0</v>
      </c>
      <c r="V853">
        <v>200</v>
      </c>
      <c r="W853" t="s">
        <v>42</v>
      </c>
      <c r="X853" s="6" t="s">
        <v>1308</v>
      </c>
    </row>
    <row r="854" spans="1:24" hidden="1" x14ac:dyDescent="0.25">
      <c r="A854" t="s">
        <v>1312</v>
      </c>
      <c r="B854" t="s">
        <v>268</v>
      </c>
      <c r="C854" t="s">
        <v>34</v>
      </c>
      <c r="D854">
        <v>15</v>
      </c>
      <c r="E854" s="1">
        <v>45334</v>
      </c>
      <c r="F854" t="s">
        <v>35</v>
      </c>
      <c r="G854" t="s">
        <v>26</v>
      </c>
      <c r="H854" t="str">
        <f>INDEX(Table1[Diagnosis],MATCH(I854,'codeand diagnosis'!$A$2:$A$11,0))</f>
        <v>Dental examination</v>
      </c>
      <c r="I854" t="s">
        <v>45</v>
      </c>
      <c r="J854" t="str">
        <f>INDEX(Table1[ICD-10 Code],MATCH(Table2[[#This Row],[Treatment]],Table1[Treatment Type],0))</f>
        <v>Z01.2</v>
      </c>
      <c r="K854" t="s">
        <v>38</v>
      </c>
      <c r="L854" t="s">
        <v>28</v>
      </c>
      <c r="M854" t="s">
        <v>29</v>
      </c>
      <c r="N854">
        <f>Table2[[#This Row],[Total Paid]]+Table2[[#This Row],[Due]]</f>
        <v>0</v>
      </c>
      <c r="O854">
        <v>0</v>
      </c>
      <c r="P854">
        <v>0</v>
      </c>
      <c r="Q854">
        <v>0</v>
      </c>
      <c r="R854">
        <v>0</v>
      </c>
      <c r="S854">
        <v>0</v>
      </c>
      <c r="T854">
        <v>0</v>
      </c>
      <c r="U854">
        <v>0</v>
      </c>
      <c r="V854">
        <v>0</v>
      </c>
      <c r="W854" t="s">
        <v>51</v>
      </c>
      <c r="X854" s="6" t="s">
        <v>1308</v>
      </c>
    </row>
    <row r="855" spans="1:24" hidden="1" x14ac:dyDescent="0.25">
      <c r="A855" t="s">
        <v>1313</v>
      </c>
      <c r="B855" t="s">
        <v>65</v>
      </c>
      <c r="C855" t="s">
        <v>24</v>
      </c>
      <c r="D855">
        <v>27</v>
      </c>
      <c r="E855" s="1">
        <v>45334</v>
      </c>
      <c r="F855" t="s">
        <v>132</v>
      </c>
      <c r="G855" t="s">
        <v>26</v>
      </c>
      <c r="H855" t="str">
        <f>INDEX(Table1[Diagnosis],MATCH(I855,'codeand diagnosis'!$A$2:$A$11,0))</f>
        <v>Dental examination</v>
      </c>
      <c r="I855" t="s">
        <v>45</v>
      </c>
      <c r="J855" t="str">
        <f>INDEX(Table1[ICD-10 Code],MATCH(Table2[[#This Row],[Treatment]],Table1[Treatment Type],0))</f>
        <v>Z01.2</v>
      </c>
      <c r="K855" t="s">
        <v>28</v>
      </c>
      <c r="L855" t="s">
        <v>28</v>
      </c>
      <c r="M855" t="s">
        <v>29</v>
      </c>
      <c r="N855">
        <f>Table2[[#This Row],[Total Paid]]+Table2[[#This Row],[Due]]</f>
        <v>200</v>
      </c>
      <c r="O855">
        <v>0</v>
      </c>
      <c r="P855">
        <v>0</v>
      </c>
      <c r="Q855">
        <v>200</v>
      </c>
      <c r="R855">
        <v>0</v>
      </c>
      <c r="S855">
        <v>0</v>
      </c>
      <c r="T855">
        <v>200</v>
      </c>
      <c r="U855">
        <v>0</v>
      </c>
      <c r="V855">
        <v>200</v>
      </c>
      <c r="W855" t="s">
        <v>30</v>
      </c>
      <c r="X855" s="6" t="s">
        <v>1308</v>
      </c>
    </row>
    <row r="856" spans="1:24" hidden="1" x14ac:dyDescent="0.25">
      <c r="A856" t="s">
        <v>1314</v>
      </c>
      <c r="B856" t="s">
        <v>232</v>
      </c>
      <c r="C856" t="s">
        <v>24</v>
      </c>
      <c r="D856">
        <v>52</v>
      </c>
      <c r="E856" s="1">
        <v>45334</v>
      </c>
      <c r="F856" t="s">
        <v>35</v>
      </c>
      <c r="G856" t="s">
        <v>26</v>
      </c>
      <c r="H856" t="str">
        <f>INDEX(Table1[Diagnosis],MATCH(I856,'codeand diagnosis'!$A$2:$A$11,0))</f>
        <v>Dental examination with radiology</v>
      </c>
      <c r="I856" t="s">
        <v>37</v>
      </c>
      <c r="J856" t="str">
        <f>INDEX(Table1[ICD-10 Code],MATCH(Table2[[#This Row],[Treatment]],Table1[Treatment Type],0))</f>
        <v>Z01.2</v>
      </c>
      <c r="K856" t="s">
        <v>28</v>
      </c>
      <c r="L856" t="s">
        <v>38</v>
      </c>
      <c r="M856" t="s">
        <v>29</v>
      </c>
      <c r="N856">
        <f>Table2[[#This Row],[Total Paid]]+Table2[[#This Row],[Due]]</f>
        <v>300</v>
      </c>
      <c r="O856">
        <v>0</v>
      </c>
      <c r="P856">
        <v>150</v>
      </c>
      <c r="Q856">
        <v>200</v>
      </c>
      <c r="R856">
        <v>0</v>
      </c>
      <c r="S856">
        <v>50</v>
      </c>
      <c r="T856">
        <v>300</v>
      </c>
      <c r="U856">
        <v>0</v>
      </c>
      <c r="V856">
        <v>300</v>
      </c>
      <c r="W856" t="s">
        <v>47</v>
      </c>
      <c r="X856" s="6" t="s">
        <v>1308</v>
      </c>
    </row>
    <row r="857" spans="1:24" hidden="1" x14ac:dyDescent="0.25">
      <c r="A857" t="s">
        <v>1315</v>
      </c>
      <c r="B857" t="s">
        <v>53</v>
      </c>
      <c r="C857" t="s">
        <v>34</v>
      </c>
      <c r="D857">
        <v>63</v>
      </c>
      <c r="E857" s="1">
        <v>45334</v>
      </c>
      <c r="F857" t="s">
        <v>132</v>
      </c>
      <c r="G857" t="s">
        <v>26</v>
      </c>
      <c r="H857" t="str">
        <f>INDEX(Table1[Diagnosis],MATCH(I857,'codeand diagnosis'!$A$2:$A$11,0))</f>
        <v>Gingivitis</v>
      </c>
      <c r="I857" t="s">
        <v>27</v>
      </c>
      <c r="J857" t="str">
        <f>INDEX(Table1[ICD-10 Code],MATCH(Table2[[#This Row],[Treatment]],Table1[Treatment Type],0))</f>
        <v>K05.10</v>
      </c>
      <c r="K857" t="s">
        <v>28</v>
      </c>
      <c r="L857" t="s">
        <v>28</v>
      </c>
      <c r="M857" t="s">
        <v>29</v>
      </c>
      <c r="N857">
        <f>Table2[[#This Row],[Total Paid]]+Table2[[#This Row],[Due]]</f>
        <v>421</v>
      </c>
      <c r="O857">
        <v>521</v>
      </c>
      <c r="P857">
        <v>0</v>
      </c>
      <c r="Q857">
        <v>0</v>
      </c>
      <c r="R857">
        <v>0</v>
      </c>
      <c r="S857">
        <v>100</v>
      </c>
      <c r="T857">
        <v>421</v>
      </c>
      <c r="U857">
        <v>0</v>
      </c>
      <c r="V857">
        <v>421</v>
      </c>
      <c r="W857" t="s">
        <v>47</v>
      </c>
      <c r="X857" s="6" t="s">
        <v>1308</v>
      </c>
    </row>
    <row r="858" spans="1:24" hidden="1" x14ac:dyDescent="0.25">
      <c r="A858" t="s">
        <v>1316</v>
      </c>
      <c r="B858" t="s">
        <v>304</v>
      </c>
      <c r="C858" t="s">
        <v>34</v>
      </c>
      <c r="D858">
        <v>69</v>
      </c>
      <c r="E858" s="1">
        <v>45334</v>
      </c>
      <c r="F858" t="s">
        <v>50</v>
      </c>
      <c r="G858" t="s">
        <v>36</v>
      </c>
      <c r="H858" t="str">
        <f>INDEX(Table1[Diagnosis],MATCH(I858,'codeand diagnosis'!$A$2:$A$11,0))</f>
        <v>Dental examination with radiology</v>
      </c>
      <c r="I858" t="s">
        <v>37</v>
      </c>
      <c r="J858" t="str">
        <f>INDEX(Table1[ICD-10 Code],MATCH(Table2[[#This Row],[Treatment]],Table1[Treatment Type],0))</f>
        <v>Z01.2</v>
      </c>
      <c r="K858" t="s">
        <v>38</v>
      </c>
      <c r="L858" t="s">
        <v>38</v>
      </c>
      <c r="M858" t="s">
        <v>29</v>
      </c>
      <c r="N858">
        <f>Table2[[#This Row],[Total Paid]]+Table2[[#This Row],[Due]]</f>
        <v>150</v>
      </c>
      <c r="O858">
        <v>0</v>
      </c>
      <c r="P858">
        <v>150</v>
      </c>
      <c r="Q858">
        <v>0</v>
      </c>
      <c r="R858">
        <v>0</v>
      </c>
      <c r="S858">
        <v>0</v>
      </c>
      <c r="T858">
        <v>150</v>
      </c>
      <c r="U858">
        <v>0</v>
      </c>
      <c r="V858">
        <v>150</v>
      </c>
      <c r="W858" t="s">
        <v>47</v>
      </c>
      <c r="X858" s="6" t="s">
        <v>1308</v>
      </c>
    </row>
    <row r="859" spans="1:24" hidden="1" x14ac:dyDescent="0.25">
      <c r="A859" t="s">
        <v>1317</v>
      </c>
      <c r="B859" t="s">
        <v>361</v>
      </c>
      <c r="C859" t="s">
        <v>34</v>
      </c>
      <c r="D859">
        <v>22</v>
      </c>
      <c r="E859" s="1">
        <v>45334</v>
      </c>
      <c r="F859" t="s">
        <v>35</v>
      </c>
      <c r="G859" t="s">
        <v>26</v>
      </c>
      <c r="H859" t="str">
        <f>INDEX(Table1[Diagnosis],MATCH(I859,'codeand diagnosis'!$A$2:$A$11,0))</f>
        <v>Malocclusion</v>
      </c>
      <c r="I859" t="s">
        <v>89</v>
      </c>
      <c r="J859" t="str">
        <f>INDEX(Table1[ICD-10 Code],MATCH(Table2[[#This Row],[Treatment]],Table1[Treatment Type],0))</f>
        <v>K07.4</v>
      </c>
      <c r="K859" t="s">
        <v>28</v>
      </c>
      <c r="L859" t="s">
        <v>38</v>
      </c>
      <c r="M859" t="s">
        <v>29</v>
      </c>
      <c r="N859">
        <f>Table2[[#This Row],[Total Paid]]+Table2[[#This Row],[Due]]</f>
        <v>14092</v>
      </c>
      <c r="O859">
        <v>14092</v>
      </c>
      <c r="P859">
        <v>0</v>
      </c>
      <c r="Q859">
        <v>0</v>
      </c>
      <c r="R859">
        <v>4120</v>
      </c>
      <c r="S859">
        <v>0</v>
      </c>
      <c r="T859">
        <v>14092</v>
      </c>
      <c r="U859">
        <v>0</v>
      </c>
      <c r="V859">
        <v>9972</v>
      </c>
      <c r="W859" t="s">
        <v>42</v>
      </c>
      <c r="X859" s="6" t="s">
        <v>1308</v>
      </c>
    </row>
    <row r="860" spans="1:24" hidden="1" x14ac:dyDescent="0.25">
      <c r="A860" t="s">
        <v>1318</v>
      </c>
      <c r="B860" t="s">
        <v>106</v>
      </c>
      <c r="C860" t="s">
        <v>24</v>
      </c>
      <c r="D860">
        <v>59</v>
      </c>
      <c r="E860" s="1">
        <v>45363</v>
      </c>
      <c r="F860" t="s">
        <v>35</v>
      </c>
      <c r="G860" t="s">
        <v>26</v>
      </c>
      <c r="H860" t="str">
        <f>INDEX(Table1[Diagnosis],MATCH(I860,'codeand diagnosis'!$A$2:$A$11,0))</f>
        <v>Missing teeth</v>
      </c>
      <c r="I860" t="s">
        <v>78</v>
      </c>
      <c r="J860" t="str">
        <f>INDEX(Table1[ICD-10 Code],MATCH(Table2[[#This Row],[Treatment]],Table1[Treatment Type],0))</f>
        <v>K08.1</v>
      </c>
      <c r="K860" t="s">
        <v>28</v>
      </c>
      <c r="L860" t="s">
        <v>38</v>
      </c>
      <c r="M860" t="s">
        <v>61</v>
      </c>
      <c r="N860">
        <f>Table2[[#This Row],[Total Paid]]+Table2[[#This Row],[Due]]</f>
        <v>20345</v>
      </c>
      <c r="O860">
        <v>20445</v>
      </c>
      <c r="P860">
        <v>0</v>
      </c>
      <c r="Q860">
        <v>0</v>
      </c>
      <c r="R860">
        <v>4890</v>
      </c>
      <c r="S860">
        <v>100</v>
      </c>
      <c r="T860">
        <v>20345</v>
      </c>
      <c r="U860">
        <v>0</v>
      </c>
      <c r="V860">
        <v>15455</v>
      </c>
      <c r="W860" t="s">
        <v>42</v>
      </c>
      <c r="X860" s="6" t="s">
        <v>1308</v>
      </c>
    </row>
    <row r="861" spans="1:24" hidden="1" x14ac:dyDescent="0.25">
      <c r="A861" t="s">
        <v>1319</v>
      </c>
      <c r="B861" t="s">
        <v>73</v>
      </c>
      <c r="C861" t="s">
        <v>34</v>
      </c>
      <c r="D861">
        <v>18</v>
      </c>
      <c r="E861" s="1">
        <v>45363</v>
      </c>
      <c r="F861" t="s">
        <v>35</v>
      </c>
      <c r="G861" t="s">
        <v>26</v>
      </c>
      <c r="H861" t="str">
        <f>INDEX(Table1[Diagnosis],MATCH(I861,'codeand diagnosis'!$A$2:$A$11,0))</f>
        <v>Gingivitis</v>
      </c>
      <c r="I861" t="s">
        <v>27</v>
      </c>
      <c r="J861" t="str">
        <f>INDEX(Table1[ICD-10 Code],MATCH(Table2[[#This Row],[Treatment]],Table1[Treatment Type],0))</f>
        <v>K05.10</v>
      </c>
      <c r="K861" t="s">
        <v>28</v>
      </c>
      <c r="L861" t="s">
        <v>28</v>
      </c>
      <c r="M861" t="s">
        <v>46</v>
      </c>
      <c r="N861">
        <f>Table2[[#This Row],[Total Paid]]+Table2[[#This Row],[Due]]</f>
        <v>497</v>
      </c>
      <c r="O861">
        <v>497</v>
      </c>
      <c r="P861">
        <v>0</v>
      </c>
      <c r="Q861">
        <v>0</v>
      </c>
      <c r="R861">
        <v>0</v>
      </c>
      <c r="S861">
        <v>0</v>
      </c>
      <c r="T861">
        <v>497</v>
      </c>
      <c r="U861">
        <v>0</v>
      </c>
      <c r="V861">
        <v>497</v>
      </c>
      <c r="W861" t="s">
        <v>42</v>
      </c>
      <c r="X861" s="6" t="s">
        <v>1308</v>
      </c>
    </row>
    <row r="862" spans="1:24" x14ac:dyDescent="0.25">
      <c r="A862" t="s">
        <v>1320</v>
      </c>
      <c r="B862" t="s">
        <v>80</v>
      </c>
      <c r="C862" t="s">
        <v>34</v>
      </c>
      <c r="D862">
        <v>5</v>
      </c>
      <c r="E862" s="1">
        <v>45363</v>
      </c>
      <c r="F862" t="s">
        <v>104</v>
      </c>
      <c r="G862" t="s">
        <v>26</v>
      </c>
      <c r="H862" t="str">
        <f>INDEX(Table1[Diagnosis],MATCH(I862,'codeand diagnosis'!$A$2:$A$11,0))</f>
        <v>Dental examination</v>
      </c>
      <c r="I862" t="s">
        <v>45</v>
      </c>
      <c r="J862" t="str">
        <f>INDEX(Table1[ICD-10 Code],MATCH(Table2[[#This Row],[Treatment]],Table1[Treatment Type],0))</f>
        <v>Z01.2</v>
      </c>
      <c r="K862" t="s">
        <v>28</v>
      </c>
      <c r="L862" t="s">
        <v>28</v>
      </c>
      <c r="M862" t="s">
        <v>61</v>
      </c>
      <c r="N862">
        <f>Table2[[#This Row],[Total Paid]]+Table2[[#This Row],[Due]]</f>
        <v>200</v>
      </c>
      <c r="O862">
        <v>0</v>
      </c>
      <c r="P862">
        <v>0</v>
      </c>
      <c r="Q862">
        <v>200</v>
      </c>
      <c r="R862">
        <v>0</v>
      </c>
      <c r="S862">
        <v>0</v>
      </c>
      <c r="T862">
        <v>200</v>
      </c>
      <c r="U862">
        <v>0</v>
      </c>
      <c r="V862">
        <v>200</v>
      </c>
      <c r="W862" t="s">
        <v>51</v>
      </c>
      <c r="X862" s="6" t="s">
        <v>1308</v>
      </c>
    </row>
    <row r="863" spans="1:24" hidden="1" x14ac:dyDescent="0.25">
      <c r="A863" t="s">
        <v>1321</v>
      </c>
      <c r="B863" t="s">
        <v>365</v>
      </c>
      <c r="C863" t="s">
        <v>24</v>
      </c>
      <c r="D863">
        <v>62</v>
      </c>
      <c r="E863" s="1">
        <v>45363</v>
      </c>
      <c r="F863" t="s">
        <v>54</v>
      </c>
      <c r="G863" t="s">
        <v>26</v>
      </c>
      <c r="H863" t="str">
        <f>INDEX(Table1[Diagnosis],MATCH(I863,'codeand diagnosis'!$A$2:$A$11,0))</f>
        <v>Dental examination</v>
      </c>
      <c r="I863" t="s">
        <v>45</v>
      </c>
      <c r="J863" t="str">
        <f>INDEX(Table1[ICD-10 Code],MATCH(Table2[[#This Row],[Treatment]],Table1[Treatment Type],0))</f>
        <v>Z01.2</v>
      </c>
      <c r="K863" t="s">
        <v>28</v>
      </c>
      <c r="L863" t="s">
        <v>28</v>
      </c>
      <c r="M863" t="s">
        <v>29</v>
      </c>
      <c r="N863">
        <f>Table2[[#This Row],[Total Paid]]+Table2[[#This Row],[Due]]</f>
        <v>200</v>
      </c>
      <c r="O863">
        <v>0</v>
      </c>
      <c r="P863">
        <v>0</v>
      </c>
      <c r="Q863">
        <v>200</v>
      </c>
      <c r="R863">
        <v>0</v>
      </c>
      <c r="S863">
        <v>0</v>
      </c>
      <c r="T863">
        <v>200</v>
      </c>
      <c r="U863">
        <v>0</v>
      </c>
      <c r="V863">
        <v>200</v>
      </c>
      <c r="W863" t="s">
        <v>42</v>
      </c>
      <c r="X863" s="6" t="s">
        <v>1308</v>
      </c>
    </row>
    <row r="864" spans="1:24" hidden="1" x14ac:dyDescent="0.25">
      <c r="A864" t="s">
        <v>1322</v>
      </c>
      <c r="B864" t="s">
        <v>342</v>
      </c>
      <c r="C864" t="s">
        <v>34</v>
      </c>
      <c r="D864">
        <v>69</v>
      </c>
      <c r="E864" s="1">
        <v>45363</v>
      </c>
      <c r="F864" t="s">
        <v>35</v>
      </c>
      <c r="G864" t="s">
        <v>26</v>
      </c>
      <c r="H864" t="str">
        <f>INDEX(Table1[Diagnosis],MATCH(I864,'codeand diagnosis'!$A$2:$A$11,0))</f>
        <v>Dental examination with radiology</v>
      </c>
      <c r="I864" t="s">
        <v>37</v>
      </c>
      <c r="J864" t="str">
        <f>INDEX(Table1[ICD-10 Code],MATCH(Table2[[#This Row],[Treatment]],Table1[Treatment Type],0))</f>
        <v>Z01.2</v>
      </c>
      <c r="K864" t="s">
        <v>28</v>
      </c>
      <c r="L864" t="s">
        <v>38</v>
      </c>
      <c r="M864" t="s">
        <v>29</v>
      </c>
      <c r="N864">
        <f>Table2[[#This Row],[Total Paid]]+Table2[[#This Row],[Due]]</f>
        <v>210</v>
      </c>
      <c r="O864">
        <v>0</v>
      </c>
      <c r="P864">
        <v>150</v>
      </c>
      <c r="Q864">
        <v>200</v>
      </c>
      <c r="R864">
        <v>0</v>
      </c>
      <c r="S864">
        <v>140</v>
      </c>
      <c r="T864">
        <v>210</v>
      </c>
      <c r="U864">
        <v>0</v>
      </c>
      <c r="V864">
        <v>210</v>
      </c>
      <c r="W864" t="s">
        <v>47</v>
      </c>
      <c r="X864" s="6" t="s">
        <v>1308</v>
      </c>
    </row>
    <row r="865" spans="1:24" hidden="1" x14ac:dyDescent="0.25">
      <c r="A865" t="s">
        <v>1323</v>
      </c>
      <c r="B865" t="s">
        <v>137</v>
      </c>
      <c r="C865" t="s">
        <v>24</v>
      </c>
      <c r="D865">
        <v>56</v>
      </c>
      <c r="E865" s="1">
        <v>45363</v>
      </c>
      <c r="F865" t="s">
        <v>50</v>
      </c>
      <c r="G865" t="s">
        <v>36</v>
      </c>
      <c r="H865" t="str">
        <f>INDEX(Table1[Diagnosis],MATCH(I865,'codeand diagnosis'!$A$2:$A$11,0))</f>
        <v>Dental examination with radiology</v>
      </c>
      <c r="I865" t="s">
        <v>37</v>
      </c>
      <c r="J865" t="str">
        <f>INDEX(Table1[ICD-10 Code],MATCH(Table2[[#This Row],[Treatment]],Table1[Treatment Type],0))</f>
        <v>Z01.2</v>
      </c>
      <c r="K865" t="s">
        <v>28</v>
      </c>
      <c r="L865" t="s">
        <v>38</v>
      </c>
      <c r="M865" t="s">
        <v>29</v>
      </c>
      <c r="N865">
        <f>Table2[[#This Row],[Total Paid]]+Table2[[#This Row],[Due]]</f>
        <v>210</v>
      </c>
      <c r="O865">
        <v>0</v>
      </c>
      <c r="P865">
        <v>150</v>
      </c>
      <c r="Q865">
        <v>200</v>
      </c>
      <c r="R865">
        <v>0</v>
      </c>
      <c r="S865">
        <v>140</v>
      </c>
      <c r="T865">
        <v>210</v>
      </c>
      <c r="U865">
        <v>0</v>
      </c>
      <c r="V865">
        <v>210</v>
      </c>
      <c r="W865" t="s">
        <v>47</v>
      </c>
      <c r="X865" s="6" t="s">
        <v>1308</v>
      </c>
    </row>
    <row r="866" spans="1:24" hidden="1" x14ac:dyDescent="0.25">
      <c r="A866" t="s">
        <v>1324</v>
      </c>
      <c r="B866" t="s">
        <v>131</v>
      </c>
      <c r="C866" t="s">
        <v>34</v>
      </c>
      <c r="D866">
        <v>19</v>
      </c>
      <c r="E866" s="1">
        <v>45363</v>
      </c>
      <c r="F866" t="s">
        <v>132</v>
      </c>
      <c r="G866" t="s">
        <v>26</v>
      </c>
      <c r="H866" t="str">
        <f>INDEX(Table1[Diagnosis],MATCH(I866,'codeand diagnosis'!$A$2:$A$11,0))</f>
        <v>Dental examination</v>
      </c>
      <c r="I866" t="s">
        <v>45</v>
      </c>
      <c r="J866" t="str">
        <f>INDEX(Table1[ICD-10 Code],MATCH(Table2[[#This Row],[Treatment]],Table1[Treatment Type],0))</f>
        <v>Z01.2</v>
      </c>
      <c r="K866" t="s">
        <v>28</v>
      </c>
      <c r="L866" t="s">
        <v>28</v>
      </c>
      <c r="M866" t="s">
        <v>29</v>
      </c>
      <c r="N866">
        <f>Table2[[#This Row],[Total Paid]]+Table2[[#This Row],[Due]]</f>
        <v>200</v>
      </c>
      <c r="O866">
        <v>0</v>
      </c>
      <c r="P866">
        <v>0</v>
      </c>
      <c r="Q866">
        <v>200</v>
      </c>
      <c r="R866">
        <v>0</v>
      </c>
      <c r="S866">
        <v>0</v>
      </c>
      <c r="T866">
        <v>200</v>
      </c>
      <c r="U866">
        <v>0</v>
      </c>
      <c r="V866">
        <v>200</v>
      </c>
      <c r="W866" t="s">
        <v>42</v>
      </c>
      <c r="X866" s="6" t="s">
        <v>1308</v>
      </c>
    </row>
    <row r="867" spans="1:24" hidden="1" x14ac:dyDescent="0.25">
      <c r="A867" t="s">
        <v>1325</v>
      </c>
      <c r="B867" t="s">
        <v>306</v>
      </c>
      <c r="C867" t="s">
        <v>24</v>
      </c>
      <c r="D867">
        <v>54</v>
      </c>
      <c r="E867" s="1">
        <v>45363</v>
      </c>
      <c r="F867" t="s">
        <v>35</v>
      </c>
      <c r="G867" t="s">
        <v>36</v>
      </c>
      <c r="H867" t="str">
        <f>INDEX(Table1[Diagnosis],MATCH(I867,'codeand diagnosis'!$A$2:$A$11,0))</f>
        <v>Retained dental root</v>
      </c>
      <c r="I867" t="s">
        <v>145</v>
      </c>
      <c r="J867" t="str">
        <f>INDEX(Table1[ICD-10 Code],MATCH(Table2[[#This Row],[Treatment]],Table1[Treatment Type],0))</f>
        <v>K08.3</v>
      </c>
      <c r="K867" t="s">
        <v>38</v>
      </c>
      <c r="L867" t="s">
        <v>38</v>
      </c>
      <c r="M867" t="s">
        <v>29</v>
      </c>
      <c r="N867">
        <f>Table2[[#This Row],[Total Paid]]+Table2[[#This Row],[Due]]</f>
        <v>3544</v>
      </c>
      <c r="O867">
        <v>3544</v>
      </c>
      <c r="P867">
        <v>0</v>
      </c>
      <c r="Q867">
        <v>0</v>
      </c>
      <c r="R867">
        <v>1450</v>
      </c>
      <c r="S867">
        <v>0</v>
      </c>
      <c r="T867">
        <v>3154</v>
      </c>
      <c r="U867">
        <v>390</v>
      </c>
      <c r="V867">
        <v>1704</v>
      </c>
      <c r="W867" t="s">
        <v>30</v>
      </c>
      <c r="X867" s="6" t="s">
        <v>1308</v>
      </c>
    </row>
    <row r="868" spans="1:24" hidden="1" x14ac:dyDescent="0.25">
      <c r="A868" t="s">
        <v>1326</v>
      </c>
      <c r="B868" t="s">
        <v>224</v>
      </c>
      <c r="C868" t="s">
        <v>34</v>
      </c>
      <c r="D868">
        <v>36</v>
      </c>
      <c r="E868" s="1">
        <v>45363</v>
      </c>
      <c r="F868" t="s">
        <v>35</v>
      </c>
      <c r="G868" t="s">
        <v>36</v>
      </c>
      <c r="H868" t="str">
        <f>INDEX(Table1[Diagnosis],MATCH(I868,'codeand diagnosis'!$A$2:$A$11,0))</f>
        <v>Dental examination</v>
      </c>
      <c r="I868" t="s">
        <v>45</v>
      </c>
      <c r="J868" t="str">
        <f>INDEX(Table1[ICD-10 Code],MATCH(Table2[[#This Row],[Treatment]],Table1[Treatment Type],0))</f>
        <v>Z01.2</v>
      </c>
      <c r="K868" t="s">
        <v>28</v>
      </c>
      <c r="L868" t="s">
        <v>28</v>
      </c>
      <c r="M868" t="s">
        <v>29</v>
      </c>
      <c r="N868">
        <f>Table2[[#This Row],[Total Paid]]+Table2[[#This Row],[Due]]</f>
        <v>200</v>
      </c>
      <c r="O868">
        <v>0</v>
      </c>
      <c r="P868">
        <v>0</v>
      </c>
      <c r="Q868">
        <v>200</v>
      </c>
      <c r="R868">
        <v>0</v>
      </c>
      <c r="S868">
        <v>0</v>
      </c>
      <c r="T868">
        <v>200</v>
      </c>
      <c r="U868">
        <v>0</v>
      </c>
      <c r="V868">
        <v>200</v>
      </c>
      <c r="W868" t="s">
        <v>47</v>
      </c>
      <c r="X868" s="6" t="s">
        <v>1308</v>
      </c>
    </row>
    <row r="869" spans="1:24" hidden="1" x14ac:dyDescent="0.25">
      <c r="A869" t="s">
        <v>1327</v>
      </c>
      <c r="B869" t="s">
        <v>121</v>
      </c>
      <c r="C869" t="s">
        <v>34</v>
      </c>
      <c r="D869">
        <v>27</v>
      </c>
      <c r="E869" s="1">
        <v>45363</v>
      </c>
      <c r="F869" t="s">
        <v>88</v>
      </c>
      <c r="G869" t="s">
        <v>26</v>
      </c>
      <c r="H869" t="str">
        <f>INDEX(Table1[Diagnosis],MATCH(I869,'codeand diagnosis'!$A$2:$A$11,0))</f>
        <v>Gingivitis</v>
      </c>
      <c r="I869" t="s">
        <v>27</v>
      </c>
      <c r="J869" t="str">
        <f>INDEX(Table1[ICD-10 Code],MATCH(Table2[[#This Row],[Treatment]],Table1[Treatment Type],0))</f>
        <v>K05.10</v>
      </c>
      <c r="K869" t="s">
        <v>28</v>
      </c>
      <c r="L869" t="s">
        <v>38</v>
      </c>
      <c r="M869" t="s">
        <v>29</v>
      </c>
      <c r="N869">
        <f>Table2[[#This Row],[Total Paid]]+Table2[[#This Row],[Due]]</f>
        <v>480</v>
      </c>
      <c r="O869">
        <v>480</v>
      </c>
      <c r="P869">
        <v>0</v>
      </c>
      <c r="Q869">
        <v>0</v>
      </c>
      <c r="R869">
        <v>0</v>
      </c>
      <c r="S869">
        <v>0</v>
      </c>
      <c r="T869">
        <v>480</v>
      </c>
      <c r="U869">
        <v>0</v>
      </c>
      <c r="V869">
        <v>480</v>
      </c>
      <c r="W869" t="s">
        <v>30</v>
      </c>
      <c r="X869" s="6" t="s">
        <v>1308</v>
      </c>
    </row>
    <row r="870" spans="1:24" hidden="1" x14ac:dyDescent="0.25">
      <c r="A870" t="s">
        <v>1328</v>
      </c>
      <c r="B870" t="s">
        <v>365</v>
      </c>
      <c r="C870" t="s">
        <v>24</v>
      </c>
      <c r="D870">
        <v>68</v>
      </c>
      <c r="E870" s="1">
        <v>45363</v>
      </c>
      <c r="F870" t="s">
        <v>50</v>
      </c>
      <c r="G870" t="s">
        <v>26</v>
      </c>
      <c r="H870" t="str">
        <f>INDEX(Table1[Diagnosis],MATCH(I870,'codeand diagnosis'!$A$2:$A$11,0))</f>
        <v>Malocclusion</v>
      </c>
      <c r="I870" t="s">
        <v>89</v>
      </c>
      <c r="J870" t="str">
        <f>INDEX(Table1[ICD-10 Code],MATCH(Table2[[#This Row],[Treatment]],Table1[Treatment Type],0))</f>
        <v>K07.4</v>
      </c>
      <c r="K870" t="s">
        <v>28</v>
      </c>
      <c r="L870" t="s">
        <v>38</v>
      </c>
      <c r="M870" t="s">
        <v>29</v>
      </c>
      <c r="N870">
        <f>Table2[[#This Row],[Total Paid]]+Table2[[#This Row],[Due]]</f>
        <v>19801</v>
      </c>
      <c r="O870">
        <v>19801</v>
      </c>
      <c r="P870">
        <v>0</v>
      </c>
      <c r="Q870">
        <v>0</v>
      </c>
      <c r="R870">
        <v>3890</v>
      </c>
      <c r="S870">
        <v>0</v>
      </c>
      <c r="T870">
        <v>19801</v>
      </c>
      <c r="U870">
        <v>0</v>
      </c>
      <c r="V870">
        <v>15911</v>
      </c>
      <c r="W870" t="s">
        <v>42</v>
      </c>
      <c r="X870" s="6" t="s">
        <v>1308</v>
      </c>
    </row>
    <row r="871" spans="1:24" hidden="1" x14ac:dyDescent="0.25">
      <c r="A871" t="s">
        <v>1329</v>
      </c>
      <c r="B871" t="s">
        <v>428</v>
      </c>
      <c r="C871" t="s">
        <v>24</v>
      </c>
      <c r="D871">
        <v>80</v>
      </c>
      <c r="E871" s="1">
        <v>45363</v>
      </c>
      <c r="F871" t="s">
        <v>88</v>
      </c>
      <c r="G871" t="s">
        <v>26</v>
      </c>
      <c r="H871" t="str">
        <f>INDEX(Table1[Diagnosis],MATCH(I871,'codeand diagnosis'!$A$2:$A$11,0))</f>
        <v>Dental examination with radiology</v>
      </c>
      <c r="I871" t="s">
        <v>37</v>
      </c>
      <c r="J871" t="str">
        <f>INDEX(Table1[ICD-10 Code],MATCH(Table2[[#This Row],[Treatment]],Table1[Treatment Type],0))</f>
        <v>Z01.2</v>
      </c>
      <c r="K871" t="s">
        <v>28</v>
      </c>
      <c r="L871" t="s">
        <v>38</v>
      </c>
      <c r="M871" t="s">
        <v>29</v>
      </c>
      <c r="N871">
        <f>Table2[[#This Row],[Total Paid]]+Table2[[#This Row],[Due]]</f>
        <v>210</v>
      </c>
      <c r="O871">
        <v>0</v>
      </c>
      <c r="P871">
        <v>150</v>
      </c>
      <c r="Q871">
        <v>200</v>
      </c>
      <c r="R871">
        <v>0</v>
      </c>
      <c r="S871">
        <v>140</v>
      </c>
      <c r="T871">
        <v>210</v>
      </c>
      <c r="U871">
        <v>0</v>
      </c>
      <c r="V871">
        <v>210</v>
      </c>
      <c r="W871" t="s">
        <v>51</v>
      </c>
      <c r="X871" s="6" t="s">
        <v>1308</v>
      </c>
    </row>
    <row r="872" spans="1:24" hidden="1" x14ac:dyDescent="0.25">
      <c r="A872" t="s">
        <v>1330</v>
      </c>
      <c r="B872" t="s">
        <v>86</v>
      </c>
      <c r="C872" t="s">
        <v>34</v>
      </c>
      <c r="D872">
        <v>54</v>
      </c>
      <c r="E872" s="1">
        <v>45363</v>
      </c>
      <c r="F872" t="s">
        <v>35</v>
      </c>
      <c r="G872" t="s">
        <v>26</v>
      </c>
      <c r="H872" t="str">
        <f>INDEX(Table1[Diagnosis],MATCH(I872,'codeand diagnosis'!$A$2:$A$11,0))</f>
        <v>Dental examination with radiology</v>
      </c>
      <c r="I872" t="s">
        <v>37</v>
      </c>
      <c r="J872" t="str">
        <f>INDEX(Table1[ICD-10 Code],MATCH(Table2[[#This Row],[Treatment]],Table1[Treatment Type],0))</f>
        <v>Z01.2</v>
      </c>
      <c r="K872" t="s">
        <v>28</v>
      </c>
      <c r="L872" t="s">
        <v>38</v>
      </c>
      <c r="M872" t="s">
        <v>29</v>
      </c>
      <c r="N872">
        <f>Table2[[#This Row],[Total Paid]]+Table2[[#This Row],[Due]]</f>
        <v>350</v>
      </c>
      <c r="O872">
        <v>0</v>
      </c>
      <c r="P872">
        <v>150</v>
      </c>
      <c r="Q872">
        <v>200</v>
      </c>
      <c r="R872">
        <v>0</v>
      </c>
      <c r="S872">
        <v>0</v>
      </c>
      <c r="T872">
        <v>350</v>
      </c>
      <c r="U872">
        <v>0</v>
      </c>
      <c r="V872">
        <v>350</v>
      </c>
      <c r="W872" t="s">
        <v>42</v>
      </c>
      <c r="X872" s="6" t="s">
        <v>1308</v>
      </c>
    </row>
    <row r="873" spans="1:24" hidden="1" x14ac:dyDescent="0.25">
      <c r="A873" t="s">
        <v>1331</v>
      </c>
      <c r="B873" t="s">
        <v>447</v>
      </c>
      <c r="C873" t="s">
        <v>24</v>
      </c>
      <c r="D873">
        <v>60</v>
      </c>
      <c r="E873" s="1">
        <v>45394</v>
      </c>
      <c r="F873" t="s">
        <v>50</v>
      </c>
      <c r="G873" t="s">
        <v>36</v>
      </c>
      <c r="H873" t="str">
        <f>INDEX(Table1[Diagnosis],MATCH(I873,'codeand diagnosis'!$A$2:$A$11,0))</f>
        <v>Dental examination</v>
      </c>
      <c r="I873" t="s">
        <v>45</v>
      </c>
      <c r="J873" t="str">
        <f>INDEX(Table1[ICD-10 Code],MATCH(Table2[[#This Row],[Treatment]],Table1[Treatment Type],0))</f>
        <v>Z01.2</v>
      </c>
      <c r="K873" t="s">
        <v>38</v>
      </c>
      <c r="L873" t="s">
        <v>28</v>
      </c>
      <c r="M873" t="s">
        <v>46</v>
      </c>
      <c r="N873">
        <f>Table2[[#This Row],[Total Paid]]+Table2[[#This Row],[Due]]</f>
        <v>0</v>
      </c>
      <c r="O873">
        <v>0</v>
      </c>
      <c r="P873">
        <v>0</v>
      </c>
      <c r="Q873">
        <v>0</v>
      </c>
      <c r="R873">
        <v>0</v>
      </c>
      <c r="S873">
        <v>0</v>
      </c>
      <c r="T873">
        <v>0</v>
      </c>
      <c r="U873">
        <v>0</v>
      </c>
      <c r="V873">
        <v>0</v>
      </c>
      <c r="W873" t="s">
        <v>51</v>
      </c>
      <c r="X873" s="6" t="s">
        <v>1308</v>
      </c>
    </row>
    <row r="874" spans="1:24" hidden="1" x14ac:dyDescent="0.25">
      <c r="A874" t="s">
        <v>1332</v>
      </c>
      <c r="B874" t="s">
        <v>197</v>
      </c>
      <c r="C874" t="s">
        <v>24</v>
      </c>
      <c r="D874">
        <v>59</v>
      </c>
      <c r="E874" s="1">
        <v>45394</v>
      </c>
      <c r="F874" t="s">
        <v>35</v>
      </c>
      <c r="G874" t="s">
        <v>26</v>
      </c>
      <c r="H874" t="str">
        <f>INDEX(Table1[Diagnosis],MATCH(I874,'codeand diagnosis'!$A$2:$A$11,0))</f>
        <v>Dental examination with radiology</v>
      </c>
      <c r="I874" t="s">
        <v>37</v>
      </c>
      <c r="J874" t="str">
        <f>INDEX(Table1[ICD-10 Code],MATCH(Table2[[#This Row],[Treatment]],Table1[Treatment Type],0))</f>
        <v>Z01.2</v>
      </c>
      <c r="K874" t="s">
        <v>28</v>
      </c>
      <c r="L874" t="s">
        <v>38</v>
      </c>
      <c r="M874" t="s">
        <v>46</v>
      </c>
      <c r="N874">
        <f>Table2[[#This Row],[Total Paid]]+Table2[[#This Row],[Due]]</f>
        <v>210</v>
      </c>
      <c r="O874">
        <v>0</v>
      </c>
      <c r="P874">
        <v>150</v>
      </c>
      <c r="Q874">
        <v>200</v>
      </c>
      <c r="R874">
        <v>0</v>
      </c>
      <c r="S874">
        <v>140</v>
      </c>
      <c r="T874">
        <v>210</v>
      </c>
      <c r="U874">
        <v>0</v>
      </c>
      <c r="V874">
        <v>210</v>
      </c>
      <c r="W874" t="s">
        <v>42</v>
      </c>
      <c r="X874" s="6" t="s">
        <v>1308</v>
      </c>
    </row>
    <row r="875" spans="1:24" hidden="1" x14ac:dyDescent="0.25">
      <c r="A875" t="s">
        <v>1333</v>
      </c>
      <c r="B875" t="s">
        <v>284</v>
      </c>
      <c r="C875" t="s">
        <v>34</v>
      </c>
      <c r="D875">
        <v>43</v>
      </c>
      <c r="E875" s="1">
        <v>45394</v>
      </c>
      <c r="F875" t="s">
        <v>35</v>
      </c>
      <c r="G875" t="s">
        <v>26</v>
      </c>
      <c r="H875" t="str">
        <f>INDEX(Table1[Diagnosis],MATCH(I875,'codeand diagnosis'!$A$2:$A$11,0))</f>
        <v>Dental examination</v>
      </c>
      <c r="I875" t="s">
        <v>45</v>
      </c>
      <c r="J875" t="str">
        <f>INDEX(Table1[ICD-10 Code],MATCH(Table2[[#This Row],[Treatment]],Table1[Treatment Type],0))</f>
        <v>Z01.2</v>
      </c>
      <c r="K875" t="s">
        <v>38</v>
      </c>
      <c r="L875" t="s">
        <v>28</v>
      </c>
      <c r="M875" t="s">
        <v>29</v>
      </c>
      <c r="N875">
        <f>Table2[[#This Row],[Total Paid]]+Table2[[#This Row],[Due]]</f>
        <v>0</v>
      </c>
      <c r="O875">
        <v>0</v>
      </c>
      <c r="P875">
        <v>0</v>
      </c>
      <c r="Q875">
        <v>0</v>
      </c>
      <c r="R875">
        <v>0</v>
      </c>
      <c r="S875">
        <v>0</v>
      </c>
      <c r="T875">
        <v>0</v>
      </c>
      <c r="U875">
        <v>0</v>
      </c>
      <c r="V875">
        <v>0</v>
      </c>
      <c r="W875" t="s">
        <v>47</v>
      </c>
      <c r="X875" s="6" t="s">
        <v>1308</v>
      </c>
    </row>
    <row r="876" spans="1:24" hidden="1" x14ac:dyDescent="0.25">
      <c r="A876" t="s">
        <v>1334</v>
      </c>
      <c r="B876" t="s">
        <v>159</v>
      </c>
      <c r="C876" t="s">
        <v>24</v>
      </c>
      <c r="D876">
        <v>19</v>
      </c>
      <c r="E876" s="1">
        <v>45394</v>
      </c>
      <c r="F876" t="s">
        <v>35</v>
      </c>
      <c r="G876" t="s">
        <v>36</v>
      </c>
      <c r="H876" t="str">
        <f>INDEX(Table1[Diagnosis],MATCH(I876,'codeand diagnosis'!$A$2:$A$11,0))</f>
        <v>Dental examination with radiology</v>
      </c>
      <c r="I876" t="s">
        <v>37</v>
      </c>
      <c r="J876" t="str">
        <f>INDEX(Table1[ICD-10 Code],MATCH(Table2[[#This Row],[Treatment]],Table1[Treatment Type],0))</f>
        <v>Z01.2</v>
      </c>
      <c r="K876" t="s">
        <v>28</v>
      </c>
      <c r="L876" t="s">
        <v>38</v>
      </c>
      <c r="M876" t="s">
        <v>29</v>
      </c>
      <c r="N876">
        <f>Table2[[#This Row],[Total Paid]]+Table2[[#This Row],[Due]]</f>
        <v>350</v>
      </c>
      <c r="O876">
        <v>0</v>
      </c>
      <c r="P876">
        <v>150</v>
      </c>
      <c r="Q876">
        <v>200</v>
      </c>
      <c r="R876">
        <v>0</v>
      </c>
      <c r="S876">
        <v>0</v>
      </c>
      <c r="T876">
        <v>350</v>
      </c>
      <c r="U876">
        <v>0</v>
      </c>
      <c r="V876">
        <v>350</v>
      </c>
      <c r="W876" t="s">
        <v>51</v>
      </c>
      <c r="X876" s="6" t="s">
        <v>1308</v>
      </c>
    </row>
    <row r="877" spans="1:24" hidden="1" x14ac:dyDescent="0.25">
      <c r="A877" t="s">
        <v>1335</v>
      </c>
      <c r="B877" t="s">
        <v>420</v>
      </c>
      <c r="C877" t="s">
        <v>34</v>
      </c>
      <c r="D877">
        <v>31</v>
      </c>
      <c r="E877" s="1">
        <v>45394</v>
      </c>
      <c r="F877" t="s">
        <v>50</v>
      </c>
      <c r="G877" t="s">
        <v>26</v>
      </c>
      <c r="H877" t="str">
        <f>INDEX(Table1[Diagnosis],MATCH(I877,'codeand diagnosis'!$A$2:$A$11,0))</f>
        <v>Dental examination</v>
      </c>
      <c r="I877" t="s">
        <v>45</v>
      </c>
      <c r="J877" t="str">
        <f>INDEX(Table1[ICD-10 Code],MATCH(Table2[[#This Row],[Treatment]],Table1[Treatment Type],0))</f>
        <v>Z01.2</v>
      </c>
      <c r="K877" t="s">
        <v>38</v>
      </c>
      <c r="L877" t="s">
        <v>28</v>
      </c>
      <c r="M877" t="s">
        <v>29</v>
      </c>
      <c r="N877">
        <f>Table2[[#This Row],[Total Paid]]+Table2[[#This Row],[Due]]</f>
        <v>0</v>
      </c>
      <c r="O877">
        <v>0</v>
      </c>
      <c r="P877">
        <v>0</v>
      </c>
      <c r="Q877">
        <v>0</v>
      </c>
      <c r="R877">
        <v>0</v>
      </c>
      <c r="S877">
        <v>0</v>
      </c>
      <c r="T877">
        <v>0</v>
      </c>
      <c r="U877">
        <v>0</v>
      </c>
      <c r="V877">
        <v>0</v>
      </c>
      <c r="W877" t="s">
        <v>51</v>
      </c>
      <c r="X877" s="6" t="s">
        <v>1308</v>
      </c>
    </row>
    <row r="878" spans="1:24" hidden="1" x14ac:dyDescent="0.25">
      <c r="A878" t="s">
        <v>1336</v>
      </c>
      <c r="B878" t="s">
        <v>290</v>
      </c>
      <c r="C878" t="s">
        <v>34</v>
      </c>
      <c r="D878">
        <v>79</v>
      </c>
      <c r="E878" s="1">
        <v>45394</v>
      </c>
      <c r="F878" t="s">
        <v>25</v>
      </c>
      <c r="G878" t="s">
        <v>36</v>
      </c>
      <c r="H878" t="str">
        <f>INDEX(Table1[Diagnosis],MATCH(I878,'codeand diagnosis'!$A$2:$A$11,0))</f>
        <v>Dental examination with radiology</v>
      </c>
      <c r="I878" t="s">
        <v>37</v>
      </c>
      <c r="J878" t="str">
        <f>INDEX(Table1[ICD-10 Code],MATCH(Table2[[#This Row],[Treatment]],Table1[Treatment Type],0))</f>
        <v>Z01.2</v>
      </c>
      <c r="K878" t="s">
        <v>28</v>
      </c>
      <c r="L878" t="s">
        <v>38</v>
      </c>
      <c r="M878" t="s">
        <v>29</v>
      </c>
      <c r="N878">
        <f>Table2[[#This Row],[Total Paid]]+Table2[[#This Row],[Due]]</f>
        <v>210</v>
      </c>
      <c r="O878">
        <v>0</v>
      </c>
      <c r="P878">
        <v>150</v>
      </c>
      <c r="Q878">
        <v>200</v>
      </c>
      <c r="R878">
        <v>0</v>
      </c>
      <c r="S878">
        <v>140</v>
      </c>
      <c r="T878">
        <v>210</v>
      </c>
      <c r="U878">
        <v>0</v>
      </c>
      <c r="V878">
        <v>210</v>
      </c>
      <c r="W878" t="s">
        <v>47</v>
      </c>
      <c r="X878" s="6" t="s">
        <v>1308</v>
      </c>
    </row>
    <row r="879" spans="1:24" hidden="1" x14ac:dyDescent="0.25">
      <c r="A879" t="s">
        <v>1337</v>
      </c>
      <c r="B879" t="s">
        <v>57</v>
      </c>
      <c r="C879" t="s">
        <v>24</v>
      </c>
      <c r="D879">
        <v>29</v>
      </c>
      <c r="E879" s="1">
        <v>45394</v>
      </c>
      <c r="F879" t="s">
        <v>35</v>
      </c>
      <c r="G879" t="s">
        <v>26</v>
      </c>
      <c r="H879" t="str">
        <f>INDEX(Table1[Diagnosis],MATCH(I879,'codeand diagnosis'!$A$2:$A$11,0))</f>
        <v>Dental examination</v>
      </c>
      <c r="I879" t="s">
        <v>45</v>
      </c>
      <c r="J879" t="str">
        <f>INDEX(Table1[ICD-10 Code],MATCH(Table2[[#This Row],[Treatment]],Table1[Treatment Type],0))</f>
        <v>Z01.2</v>
      </c>
      <c r="K879" t="s">
        <v>28</v>
      </c>
      <c r="L879" t="s">
        <v>28</v>
      </c>
      <c r="M879" t="s">
        <v>46</v>
      </c>
      <c r="N879">
        <f>Table2[[#This Row],[Total Paid]]+Table2[[#This Row],[Due]]</f>
        <v>200</v>
      </c>
      <c r="O879">
        <v>0</v>
      </c>
      <c r="P879">
        <v>0</v>
      </c>
      <c r="Q879">
        <v>200</v>
      </c>
      <c r="R879">
        <v>0</v>
      </c>
      <c r="S879">
        <v>0</v>
      </c>
      <c r="T879">
        <v>200</v>
      </c>
      <c r="U879">
        <v>0</v>
      </c>
      <c r="V879">
        <v>200</v>
      </c>
      <c r="W879" t="s">
        <v>51</v>
      </c>
      <c r="X879" s="6" t="s">
        <v>1308</v>
      </c>
    </row>
    <row r="880" spans="1:24" hidden="1" x14ac:dyDescent="0.25">
      <c r="A880" t="s">
        <v>1338</v>
      </c>
      <c r="B880" t="s">
        <v>186</v>
      </c>
      <c r="C880" t="s">
        <v>34</v>
      </c>
      <c r="D880">
        <v>17</v>
      </c>
      <c r="E880" s="1">
        <v>45424</v>
      </c>
      <c r="F880" t="s">
        <v>50</v>
      </c>
      <c r="G880" t="s">
        <v>26</v>
      </c>
      <c r="H880" t="str">
        <f>INDEX(Table1[Diagnosis],MATCH(I880,'codeand diagnosis'!$A$2:$A$11,0))</f>
        <v>Dental examination</v>
      </c>
      <c r="I880" t="s">
        <v>45</v>
      </c>
      <c r="J880" t="str">
        <f>INDEX(Table1[ICD-10 Code],MATCH(Table2[[#This Row],[Treatment]],Table1[Treatment Type],0))</f>
        <v>Z01.2</v>
      </c>
      <c r="K880" t="s">
        <v>28</v>
      </c>
      <c r="L880" t="s">
        <v>28</v>
      </c>
      <c r="M880" t="s">
        <v>29</v>
      </c>
      <c r="N880">
        <f>Table2[[#This Row],[Total Paid]]+Table2[[#This Row],[Due]]</f>
        <v>200</v>
      </c>
      <c r="O880">
        <v>0</v>
      </c>
      <c r="P880">
        <v>0</v>
      </c>
      <c r="Q880">
        <v>200</v>
      </c>
      <c r="R880">
        <v>0</v>
      </c>
      <c r="S880">
        <v>0</v>
      </c>
      <c r="T880">
        <v>200</v>
      </c>
      <c r="U880">
        <v>0</v>
      </c>
      <c r="V880">
        <v>200</v>
      </c>
      <c r="W880" t="s">
        <v>51</v>
      </c>
      <c r="X880" s="6" t="s">
        <v>1308</v>
      </c>
    </row>
    <row r="881" spans="1:24" hidden="1" x14ac:dyDescent="0.25">
      <c r="A881" t="s">
        <v>1339</v>
      </c>
      <c r="B881" t="s">
        <v>103</v>
      </c>
      <c r="C881" t="s">
        <v>34</v>
      </c>
      <c r="D881">
        <v>19</v>
      </c>
      <c r="E881" s="1">
        <v>45424</v>
      </c>
      <c r="F881" t="s">
        <v>50</v>
      </c>
      <c r="G881" t="s">
        <v>26</v>
      </c>
      <c r="H881" t="str">
        <f>INDEX(Table1[Diagnosis],MATCH(I881,'codeand diagnosis'!$A$2:$A$11,0))</f>
        <v>Malocclusion</v>
      </c>
      <c r="I881" t="s">
        <v>89</v>
      </c>
      <c r="J881" t="str">
        <f>INDEX(Table1[ICD-10 Code],MATCH(Table2[[#This Row],[Treatment]],Table1[Treatment Type],0))</f>
        <v>K07.4</v>
      </c>
      <c r="K881" t="s">
        <v>28</v>
      </c>
      <c r="L881" t="s">
        <v>38</v>
      </c>
      <c r="M881" t="s">
        <v>61</v>
      </c>
      <c r="N881">
        <f>Table2[[#This Row],[Total Paid]]+Table2[[#This Row],[Due]]</f>
        <v>19238</v>
      </c>
      <c r="O881">
        <v>19238</v>
      </c>
      <c r="P881">
        <v>0</v>
      </c>
      <c r="Q881">
        <v>0</v>
      </c>
      <c r="R881">
        <v>4950</v>
      </c>
      <c r="S881">
        <v>0</v>
      </c>
      <c r="T881">
        <v>19238</v>
      </c>
      <c r="U881">
        <v>0</v>
      </c>
      <c r="V881">
        <v>14288</v>
      </c>
      <c r="W881" t="s">
        <v>47</v>
      </c>
      <c r="X881" s="6" t="s">
        <v>1308</v>
      </c>
    </row>
    <row r="882" spans="1:24" hidden="1" x14ac:dyDescent="0.25">
      <c r="A882" t="s">
        <v>1340</v>
      </c>
      <c r="B882" t="s">
        <v>173</v>
      </c>
      <c r="C882" t="s">
        <v>24</v>
      </c>
      <c r="D882">
        <v>13</v>
      </c>
      <c r="E882" s="1">
        <v>45424</v>
      </c>
      <c r="F882" t="s">
        <v>50</v>
      </c>
      <c r="G882" t="s">
        <v>26</v>
      </c>
      <c r="H882" t="str">
        <f>INDEX(Table1[Diagnosis],MATCH(I882,'codeand diagnosis'!$A$2:$A$11,0))</f>
        <v>Dental examination with radiology</v>
      </c>
      <c r="I882" t="s">
        <v>37</v>
      </c>
      <c r="J882" t="str">
        <f>INDEX(Table1[ICD-10 Code],MATCH(Table2[[#This Row],[Treatment]],Table1[Treatment Type],0))</f>
        <v>Z01.2</v>
      </c>
      <c r="K882" t="s">
        <v>38</v>
      </c>
      <c r="L882" t="s">
        <v>38</v>
      </c>
      <c r="M882" t="s">
        <v>29</v>
      </c>
      <c r="N882">
        <f>Table2[[#This Row],[Total Paid]]+Table2[[#This Row],[Due]]</f>
        <v>150</v>
      </c>
      <c r="O882">
        <v>0</v>
      </c>
      <c r="P882">
        <v>150</v>
      </c>
      <c r="Q882">
        <v>0</v>
      </c>
      <c r="R882">
        <v>0</v>
      </c>
      <c r="S882">
        <v>0</v>
      </c>
      <c r="T882">
        <v>150</v>
      </c>
      <c r="U882">
        <v>0</v>
      </c>
      <c r="V882">
        <v>150</v>
      </c>
      <c r="W882" t="s">
        <v>47</v>
      </c>
      <c r="X882" s="6" t="s">
        <v>1308</v>
      </c>
    </row>
    <row r="883" spans="1:24" hidden="1" x14ac:dyDescent="0.25">
      <c r="A883" t="s">
        <v>1341</v>
      </c>
      <c r="B883" t="s">
        <v>197</v>
      </c>
      <c r="C883" t="s">
        <v>24</v>
      </c>
      <c r="D883">
        <v>62</v>
      </c>
      <c r="E883" s="1">
        <v>45424</v>
      </c>
      <c r="F883" t="s">
        <v>50</v>
      </c>
      <c r="G883" t="s">
        <v>26</v>
      </c>
      <c r="H883" t="str">
        <f>INDEX(Table1[Diagnosis],MATCH(I883,'codeand diagnosis'!$A$2:$A$11,0))</f>
        <v>Dental examination</v>
      </c>
      <c r="I883" t="s">
        <v>45</v>
      </c>
      <c r="J883" t="str">
        <f>INDEX(Table1[ICD-10 Code],MATCH(Table2[[#This Row],[Treatment]],Table1[Treatment Type],0))</f>
        <v>Z01.2</v>
      </c>
      <c r="K883" t="s">
        <v>38</v>
      </c>
      <c r="L883" t="s">
        <v>28</v>
      </c>
      <c r="M883" t="s">
        <v>61</v>
      </c>
      <c r="N883">
        <f>Table2[[#This Row],[Total Paid]]+Table2[[#This Row],[Due]]</f>
        <v>0</v>
      </c>
      <c r="O883">
        <v>0</v>
      </c>
      <c r="P883">
        <v>0</v>
      </c>
      <c r="Q883">
        <v>0</v>
      </c>
      <c r="R883">
        <v>0</v>
      </c>
      <c r="S883">
        <v>0</v>
      </c>
      <c r="T883">
        <v>0</v>
      </c>
      <c r="U883">
        <v>0</v>
      </c>
      <c r="V883">
        <v>0</v>
      </c>
      <c r="W883" t="s">
        <v>30</v>
      </c>
      <c r="X883" s="6" t="s">
        <v>1308</v>
      </c>
    </row>
    <row r="884" spans="1:24" hidden="1" x14ac:dyDescent="0.25">
      <c r="A884" t="s">
        <v>1342</v>
      </c>
      <c r="B884" t="s">
        <v>374</v>
      </c>
      <c r="C884" t="s">
        <v>34</v>
      </c>
      <c r="D884">
        <v>67</v>
      </c>
      <c r="E884" s="1">
        <v>45424</v>
      </c>
      <c r="F884" t="s">
        <v>104</v>
      </c>
      <c r="G884" t="s">
        <v>26</v>
      </c>
      <c r="H884" t="str">
        <f>INDEX(Table1[Diagnosis],MATCH(I884,'codeand diagnosis'!$A$2:$A$11,0))</f>
        <v>Dental examination</v>
      </c>
      <c r="I884" t="s">
        <v>45</v>
      </c>
      <c r="J884" t="str">
        <f>INDEX(Table1[ICD-10 Code],MATCH(Table2[[#This Row],[Treatment]],Table1[Treatment Type],0))</f>
        <v>Z01.2</v>
      </c>
      <c r="K884" t="s">
        <v>28</v>
      </c>
      <c r="L884" t="s">
        <v>28</v>
      </c>
      <c r="M884" t="s">
        <v>29</v>
      </c>
      <c r="N884">
        <f>Table2[[#This Row],[Total Paid]]+Table2[[#This Row],[Due]]</f>
        <v>120</v>
      </c>
      <c r="O884">
        <v>0</v>
      </c>
      <c r="P884">
        <v>0</v>
      </c>
      <c r="Q884">
        <v>200</v>
      </c>
      <c r="R884">
        <v>0</v>
      </c>
      <c r="S884">
        <v>80</v>
      </c>
      <c r="T884">
        <v>120</v>
      </c>
      <c r="U884">
        <v>0</v>
      </c>
      <c r="V884">
        <v>120</v>
      </c>
      <c r="W884" t="s">
        <v>51</v>
      </c>
      <c r="X884" s="6" t="s">
        <v>1308</v>
      </c>
    </row>
    <row r="885" spans="1:24" hidden="1" x14ac:dyDescent="0.25">
      <c r="A885" t="s">
        <v>1343</v>
      </c>
      <c r="B885" t="s">
        <v>232</v>
      </c>
      <c r="C885" t="s">
        <v>24</v>
      </c>
      <c r="D885">
        <v>42</v>
      </c>
      <c r="E885" s="1">
        <v>45424</v>
      </c>
      <c r="F885" t="s">
        <v>88</v>
      </c>
      <c r="G885" t="s">
        <v>36</v>
      </c>
      <c r="H885" t="str">
        <f>INDEX(Table1[Diagnosis],MATCH(I885,'codeand diagnosis'!$A$2:$A$11,0))</f>
        <v>Dental examination</v>
      </c>
      <c r="I885" t="s">
        <v>45</v>
      </c>
      <c r="J885" t="str">
        <f>INDEX(Table1[ICD-10 Code],MATCH(Table2[[#This Row],[Treatment]],Table1[Treatment Type],0))</f>
        <v>Z01.2</v>
      </c>
      <c r="K885" t="s">
        <v>28</v>
      </c>
      <c r="L885" t="s">
        <v>28</v>
      </c>
      <c r="M885" t="s">
        <v>29</v>
      </c>
      <c r="N885">
        <f>Table2[[#This Row],[Total Paid]]+Table2[[#This Row],[Due]]</f>
        <v>120</v>
      </c>
      <c r="O885">
        <v>0</v>
      </c>
      <c r="P885">
        <v>0</v>
      </c>
      <c r="Q885">
        <v>200</v>
      </c>
      <c r="R885">
        <v>0</v>
      </c>
      <c r="S885">
        <v>80</v>
      </c>
      <c r="T885">
        <v>120</v>
      </c>
      <c r="U885">
        <v>0</v>
      </c>
      <c r="V885">
        <v>120</v>
      </c>
      <c r="W885" t="s">
        <v>30</v>
      </c>
      <c r="X885" s="6" t="s">
        <v>1308</v>
      </c>
    </row>
    <row r="886" spans="1:24" hidden="1" x14ac:dyDescent="0.25">
      <c r="A886" t="s">
        <v>1344</v>
      </c>
      <c r="B886" t="s">
        <v>57</v>
      </c>
      <c r="C886" t="s">
        <v>24</v>
      </c>
      <c r="D886">
        <v>17</v>
      </c>
      <c r="E886" s="1">
        <v>45455</v>
      </c>
      <c r="F886" t="s">
        <v>35</v>
      </c>
      <c r="G886" t="s">
        <v>26</v>
      </c>
      <c r="H886" t="str">
        <f>INDEX(Table1[Diagnosis],MATCH(I886,'codeand diagnosis'!$A$2:$A$11,0))</f>
        <v>Gingivitis</v>
      </c>
      <c r="I886" t="s">
        <v>27</v>
      </c>
      <c r="J886" t="str">
        <f>INDEX(Table1[ICD-10 Code],MATCH(Table2[[#This Row],[Treatment]],Table1[Treatment Type],0))</f>
        <v>K05.10</v>
      </c>
      <c r="K886" t="s">
        <v>38</v>
      </c>
      <c r="L886" t="s">
        <v>38</v>
      </c>
      <c r="M886" t="s">
        <v>29</v>
      </c>
      <c r="N886">
        <f>Table2[[#This Row],[Total Paid]]+Table2[[#This Row],[Due]]</f>
        <v>380</v>
      </c>
      <c r="O886">
        <v>480</v>
      </c>
      <c r="P886">
        <v>0</v>
      </c>
      <c r="Q886">
        <v>0</v>
      </c>
      <c r="R886">
        <v>0</v>
      </c>
      <c r="S886">
        <v>100</v>
      </c>
      <c r="T886">
        <v>380</v>
      </c>
      <c r="U886">
        <v>0</v>
      </c>
      <c r="V886">
        <v>380</v>
      </c>
      <c r="W886" t="s">
        <v>51</v>
      </c>
      <c r="X886" s="6" t="s">
        <v>1308</v>
      </c>
    </row>
    <row r="887" spans="1:24" hidden="1" x14ac:dyDescent="0.25">
      <c r="A887" t="s">
        <v>1345</v>
      </c>
      <c r="B887" t="s">
        <v>224</v>
      </c>
      <c r="C887" t="s">
        <v>34</v>
      </c>
      <c r="D887">
        <v>27</v>
      </c>
      <c r="E887" s="1">
        <v>45455</v>
      </c>
      <c r="F887" t="s">
        <v>35</v>
      </c>
      <c r="G887" t="s">
        <v>26</v>
      </c>
      <c r="H887" t="str">
        <f>INDEX(Table1[Diagnosis],MATCH(I887,'codeand diagnosis'!$A$2:$A$11,0))</f>
        <v>Dental examination</v>
      </c>
      <c r="I887" t="s">
        <v>45</v>
      </c>
      <c r="J887" t="str">
        <f>INDEX(Table1[ICD-10 Code],MATCH(Table2[[#This Row],[Treatment]],Table1[Treatment Type],0))</f>
        <v>Z01.2</v>
      </c>
      <c r="K887" t="s">
        <v>28</v>
      </c>
      <c r="L887" t="s">
        <v>28</v>
      </c>
      <c r="M887" t="s">
        <v>46</v>
      </c>
      <c r="N887">
        <f>Table2[[#This Row],[Total Paid]]+Table2[[#This Row],[Due]]</f>
        <v>200</v>
      </c>
      <c r="O887">
        <v>0</v>
      </c>
      <c r="P887">
        <v>0</v>
      </c>
      <c r="Q887">
        <v>200</v>
      </c>
      <c r="R887">
        <v>0</v>
      </c>
      <c r="S887">
        <v>0</v>
      </c>
      <c r="T887">
        <v>200</v>
      </c>
      <c r="U887">
        <v>0</v>
      </c>
      <c r="V887">
        <v>200</v>
      </c>
      <c r="W887" t="s">
        <v>30</v>
      </c>
      <c r="X887" s="6" t="s">
        <v>1308</v>
      </c>
    </row>
    <row r="888" spans="1:24" hidden="1" x14ac:dyDescent="0.25">
      <c r="A888" t="s">
        <v>1346</v>
      </c>
      <c r="B888" t="s">
        <v>118</v>
      </c>
      <c r="C888" t="s">
        <v>24</v>
      </c>
      <c r="D888">
        <v>42</v>
      </c>
      <c r="E888" s="1">
        <v>45455</v>
      </c>
      <c r="F888" t="s">
        <v>88</v>
      </c>
      <c r="G888" t="s">
        <v>26</v>
      </c>
      <c r="H888" t="str">
        <f>INDEX(Table1[Diagnosis],MATCH(I888,'codeand diagnosis'!$A$2:$A$11,0))</f>
        <v>Dental examination</v>
      </c>
      <c r="I888" t="s">
        <v>45</v>
      </c>
      <c r="J888" t="str">
        <f>INDEX(Table1[ICD-10 Code],MATCH(Table2[[#This Row],[Treatment]],Table1[Treatment Type],0))</f>
        <v>Z01.2</v>
      </c>
      <c r="K888" t="s">
        <v>38</v>
      </c>
      <c r="L888" t="s">
        <v>28</v>
      </c>
      <c r="M888" t="s">
        <v>29</v>
      </c>
      <c r="N888">
        <f>Table2[[#This Row],[Total Paid]]+Table2[[#This Row],[Due]]</f>
        <v>0</v>
      </c>
      <c r="O888">
        <v>0</v>
      </c>
      <c r="P888">
        <v>0</v>
      </c>
      <c r="Q888">
        <v>0</v>
      </c>
      <c r="R888">
        <v>0</v>
      </c>
      <c r="S888">
        <v>0</v>
      </c>
      <c r="T888">
        <v>0</v>
      </c>
      <c r="U888">
        <v>0</v>
      </c>
      <c r="V888">
        <v>0</v>
      </c>
      <c r="W888" t="s">
        <v>51</v>
      </c>
      <c r="X888" s="6" t="s">
        <v>1308</v>
      </c>
    </row>
    <row r="889" spans="1:24" hidden="1" x14ac:dyDescent="0.25">
      <c r="A889" t="s">
        <v>1347</v>
      </c>
      <c r="B889" t="s">
        <v>304</v>
      </c>
      <c r="C889" t="s">
        <v>34</v>
      </c>
      <c r="D889">
        <v>57</v>
      </c>
      <c r="E889" s="1">
        <v>45455</v>
      </c>
      <c r="F889" t="s">
        <v>88</v>
      </c>
      <c r="G889" t="s">
        <v>26</v>
      </c>
      <c r="H889" t="str">
        <f>INDEX(Table1[Diagnosis],MATCH(I889,'codeand diagnosis'!$A$2:$A$11,0))</f>
        <v>Dental examination</v>
      </c>
      <c r="I889" t="s">
        <v>45</v>
      </c>
      <c r="J889" t="str">
        <f>INDEX(Table1[ICD-10 Code],MATCH(Table2[[#This Row],[Treatment]],Table1[Treatment Type],0))</f>
        <v>Z01.2</v>
      </c>
      <c r="K889" t="s">
        <v>38</v>
      </c>
      <c r="L889" t="s">
        <v>28</v>
      </c>
      <c r="M889" t="s">
        <v>46</v>
      </c>
      <c r="N889">
        <f>Table2[[#This Row],[Total Paid]]+Table2[[#This Row],[Due]]</f>
        <v>0</v>
      </c>
      <c r="O889">
        <v>0</v>
      </c>
      <c r="P889">
        <v>0</v>
      </c>
      <c r="Q889">
        <v>0</v>
      </c>
      <c r="R889">
        <v>0</v>
      </c>
      <c r="S889">
        <v>0</v>
      </c>
      <c r="T889">
        <v>0</v>
      </c>
      <c r="U889">
        <v>0</v>
      </c>
      <c r="V889">
        <v>0</v>
      </c>
      <c r="W889" t="s">
        <v>42</v>
      </c>
      <c r="X889" s="6" t="s">
        <v>1308</v>
      </c>
    </row>
    <row r="890" spans="1:24" hidden="1" x14ac:dyDescent="0.25">
      <c r="A890" t="s">
        <v>1348</v>
      </c>
      <c r="B890" t="s">
        <v>197</v>
      </c>
      <c r="C890" t="s">
        <v>24</v>
      </c>
      <c r="D890">
        <v>29</v>
      </c>
      <c r="E890" s="1">
        <v>45455</v>
      </c>
      <c r="F890" t="s">
        <v>25</v>
      </c>
      <c r="G890" t="s">
        <v>26</v>
      </c>
      <c r="H890" t="str">
        <f>INDEX(Table1[Diagnosis],MATCH(I890,'codeand diagnosis'!$A$2:$A$11,0))</f>
        <v>Dental examination</v>
      </c>
      <c r="I890" t="s">
        <v>45</v>
      </c>
      <c r="J890" t="str">
        <f>INDEX(Table1[ICD-10 Code],MATCH(Table2[[#This Row],[Treatment]],Table1[Treatment Type],0))</f>
        <v>Z01.2</v>
      </c>
      <c r="K890" t="s">
        <v>28</v>
      </c>
      <c r="L890" t="s">
        <v>28</v>
      </c>
      <c r="M890" t="s">
        <v>46</v>
      </c>
      <c r="N890">
        <f>Table2[[#This Row],[Total Paid]]+Table2[[#This Row],[Due]]</f>
        <v>200</v>
      </c>
      <c r="O890">
        <v>0</v>
      </c>
      <c r="P890">
        <v>0</v>
      </c>
      <c r="Q890">
        <v>200</v>
      </c>
      <c r="R890">
        <v>0</v>
      </c>
      <c r="S890">
        <v>0</v>
      </c>
      <c r="T890">
        <v>200</v>
      </c>
      <c r="U890">
        <v>0</v>
      </c>
      <c r="V890">
        <v>200</v>
      </c>
      <c r="W890" t="s">
        <v>30</v>
      </c>
      <c r="X890" s="6" t="s">
        <v>1308</v>
      </c>
    </row>
    <row r="891" spans="1:24" hidden="1" x14ac:dyDescent="0.25">
      <c r="A891" t="s">
        <v>1349</v>
      </c>
      <c r="B891" t="s">
        <v>173</v>
      </c>
      <c r="C891" t="s">
        <v>24</v>
      </c>
      <c r="D891">
        <v>14</v>
      </c>
      <c r="E891" s="1">
        <v>45455</v>
      </c>
      <c r="F891" t="s">
        <v>50</v>
      </c>
      <c r="G891" t="s">
        <v>36</v>
      </c>
      <c r="H891" t="str">
        <f>INDEX(Table1[Diagnosis],MATCH(I891,'codeand diagnosis'!$A$2:$A$11,0))</f>
        <v>Dental examination</v>
      </c>
      <c r="I891" t="s">
        <v>45</v>
      </c>
      <c r="J891" t="str">
        <f>INDEX(Table1[ICD-10 Code],MATCH(Table2[[#This Row],[Treatment]],Table1[Treatment Type],0))</f>
        <v>Z01.2</v>
      </c>
      <c r="K891" t="s">
        <v>38</v>
      </c>
      <c r="L891" t="s">
        <v>28</v>
      </c>
      <c r="M891" t="s">
        <v>29</v>
      </c>
      <c r="N891">
        <f>Table2[[#This Row],[Total Paid]]+Table2[[#This Row],[Due]]</f>
        <v>0</v>
      </c>
      <c r="O891">
        <v>0</v>
      </c>
      <c r="P891">
        <v>0</v>
      </c>
      <c r="Q891">
        <v>0</v>
      </c>
      <c r="R891">
        <v>0</v>
      </c>
      <c r="S891">
        <v>0</v>
      </c>
      <c r="T891">
        <v>0</v>
      </c>
      <c r="U891">
        <v>0</v>
      </c>
      <c r="V891">
        <v>0</v>
      </c>
      <c r="W891" t="s">
        <v>42</v>
      </c>
      <c r="X891" s="6" t="s">
        <v>1308</v>
      </c>
    </row>
    <row r="892" spans="1:24" hidden="1" x14ac:dyDescent="0.25">
      <c r="A892" t="s">
        <v>1350</v>
      </c>
      <c r="B892" t="s">
        <v>125</v>
      </c>
      <c r="C892" t="s">
        <v>34</v>
      </c>
      <c r="D892">
        <v>13</v>
      </c>
      <c r="E892" s="1">
        <v>45485</v>
      </c>
      <c r="F892" t="s">
        <v>88</v>
      </c>
      <c r="G892" t="s">
        <v>26</v>
      </c>
      <c r="H892" t="str">
        <f>INDEX(Table1[Diagnosis],MATCH(I892,'codeand diagnosis'!$A$2:$A$11,0))</f>
        <v>Dental examination with radiology</v>
      </c>
      <c r="I892" t="s">
        <v>37</v>
      </c>
      <c r="J892" t="str">
        <f>INDEX(Table1[ICD-10 Code],MATCH(Table2[[#This Row],[Treatment]],Table1[Treatment Type],0))</f>
        <v>Z01.2</v>
      </c>
      <c r="K892" t="s">
        <v>38</v>
      </c>
      <c r="L892" t="s">
        <v>38</v>
      </c>
      <c r="M892" t="s">
        <v>29</v>
      </c>
      <c r="N892">
        <f>Table2[[#This Row],[Total Paid]]+Table2[[#This Row],[Due]]</f>
        <v>150</v>
      </c>
      <c r="O892">
        <v>0</v>
      </c>
      <c r="P892">
        <v>150</v>
      </c>
      <c r="Q892">
        <v>0</v>
      </c>
      <c r="R892">
        <v>0</v>
      </c>
      <c r="S892">
        <v>0</v>
      </c>
      <c r="T892">
        <v>150</v>
      </c>
      <c r="U892">
        <v>0</v>
      </c>
      <c r="V892">
        <v>150</v>
      </c>
      <c r="W892" t="s">
        <v>42</v>
      </c>
      <c r="X892" s="6" t="s">
        <v>1308</v>
      </c>
    </row>
    <row r="893" spans="1:24" hidden="1" x14ac:dyDescent="0.25">
      <c r="A893" t="s">
        <v>1351</v>
      </c>
      <c r="B893" t="s">
        <v>109</v>
      </c>
      <c r="C893" t="s">
        <v>34</v>
      </c>
      <c r="D893">
        <v>69</v>
      </c>
      <c r="E893" s="1">
        <v>45485</v>
      </c>
      <c r="F893" t="s">
        <v>88</v>
      </c>
      <c r="G893" t="s">
        <v>26</v>
      </c>
      <c r="H893" t="str">
        <f>INDEX(Table1[Diagnosis],MATCH(I893,'codeand diagnosis'!$A$2:$A$11,0))</f>
        <v>Dental examination with radiology</v>
      </c>
      <c r="I893" t="s">
        <v>37</v>
      </c>
      <c r="J893" t="str">
        <f>INDEX(Table1[ICD-10 Code],MATCH(Table2[[#This Row],[Treatment]],Table1[Treatment Type],0))</f>
        <v>Z01.2</v>
      </c>
      <c r="K893" t="s">
        <v>28</v>
      </c>
      <c r="L893" t="s">
        <v>38</v>
      </c>
      <c r="M893" t="s">
        <v>46</v>
      </c>
      <c r="N893">
        <f>Table2[[#This Row],[Total Paid]]+Table2[[#This Row],[Due]]</f>
        <v>350</v>
      </c>
      <c r="O893">
        <v>0</v>
      </c>
      <c r="P893">
        <v>150</v>
      </c>
      <c r="Q893">
        <v>200</v>
      </c>
      <c r="R893">
        <v>0</v>
      </c>
      <c r="S893">
        <v>0</v>
      </c>
      <c r="T893">
        <v>350</v>
      </c>
      <c r="U893">
        <v>0</v>
      </c>
      <c r="V893">
        <v>350</v>
      </c>
      <c r="W893" t="s">
        <v>42</v>
      </c>
      <c r="X893" s="6" t="s">
        <v>1308</v>
      </c>
    </row>
    <row r="894" spans="1:24" hidden="1" x14ac:dyDescent="0.25">
      <c r="A894" t="s">
        <v>1352</v>
      </c>
      <c r="B894" t="s">
        <v>113</v>
      </c>
      <c r="C894" t="s">
        <v>24</v>
      </c>
      <c r="D894">
        <v>69</v>
      </c>
      <c r="E894" s="1">
        <v>45485</v>
      </c>
      <c r="F894" t="s">
        <v>54</v>
      </c>
      <c r="G894" t="s">
        <v>26</v>
      </c>
      <c r="H894" t="str">
        <f>INDEX(Table1[Diagnosis],MATCH(I894,'codeand diagnosis'!$A$2:$A$11,0))</f>
        <v>Dental examination with radiology</v>
      </c>
      <c r="I894" t="s">
        <v>37</v>
      </c>
      <c r="J894" t="str">
        <f>INDEX(Table1[ICD-10 Code],MATCH(Table2[[#This Row],[Treatment]],Table1[Treatment Type],0))</f>
        <v>Z01.2</v>
      </c>
      <c r="K894" t="s">
        <v>38</v>
      </c>
      <c r="L894" t="s">
        <v>38</v>
      </c>
      <c r="M894" t="s">
        <v>29</v>
      </c>
      <c r="N894">
        <f>Table2[[#This Row],[Total Paid]]+Table2[[#This Row],[Due]]</f>
        <v>90</v>
      </c>
      <c r="O894">
        <v>0</v>
      </c>
      <c r="P894">
        <v>150</v>
      </c>
      <c r="Q894">
        <v>0</v>
      </c>
      <c r="R894">
        <v>0</v>
      </c>
      <c r="S894">
        <v>60</v>
      </c>
      <c r="T894">
        <v>90</v>
      </c>
      <c r="U894">
        <v>0</v>
      </c>
      <c r="V894">
        <v>90</v>
      </c>
      <c r="W894" t="s">
        <v>47</v>
      </c>
      <c r="X894" s="6" t="s">
        <v>1308</v>
      </c>
    </row>
    <row r="895" spans="1:24" hidden="1" x14ac:dyDescent="0.25">
      <c r="A895" t="s">
        <v>1353</v>
      </c>
      <c r="B895" t="s">
        <v>342</v>
      </c>
      <c r="C895" t="s">
        <v>34</v>
      </c>
      <c r="D895">
        <v>29</v>
      </c>
      <c r="E895" s="1">
        <v>45485</v>
      </c>
      <c r="F895" t="s">
        <v>50</v>
      </c>
      <c r="G895" t="s">
        <v>36</v>
      </c>
      <c r="H895" t="str">
        <f>INDEX(Table1[Diagnosis],MATCH(I895,'codeand diagnosis'!$A$2:$A$11,0))</f>
        <v>Dental examination with radiology</v>
      </c>
      <c r="I895" t="s">
        <v>37</v>
      </c>
      <c r="J895" t="str">
        <f>INDEX(Table1[ICD-10 Code],MATCH(Table2[[#This Row],[Treatment]],Table1[Treatment Type],0))</f>
        <v>Z01.2</v>
      </c>
      <c r="K895" t="s">
        <v>28</v>
      </c>
      <c r="L895" t="s">
        <v>38</v>
      </c>
      <c r="M895" t="s">
        <v>29</v>
      </c>
      <c r="N895">
        <f>Table2[[#This Row],[Total Paid]]+Table2[[#This Row],[Due]]</f>
        <v>350</v>
      </c>
      <c r="O895">
        <v>0</v>
      </c>
      <c r="P895">
        <v>150</v>
      </c>
      <c r="Q895">
        <v>200</v>
      </c>
      <c r="R895">
        <v>0</v>
      </c>
      <c r="S895">
        <v>0</v>
      </c>
      <c r="T895">
        <v>350</v>
      </c>
      <c r="U895">
        <v>0</v>
      </c>
      <c r="V895">
        <v>350</v>
      </c>
      <c r="W895" t="s">
        <v>51</v>
      </c>
      <c r="X895" s="6" t="s">
        <v>1308</v>
      </c>
    </row>
    <row r="896" spans="1:24" hidden="1" x14ac:dyDescent="0.25">
      <c r="A896" t="s">
        <v>1354</v>
      </c>
      <c r="B896" t="s">
        <v>84</v>
      </c>
      <c r="C896" t="s">
        <v>34</v>
      </c>
      <c r="D896">
        <v>67</v>
      </c>
      <c r="E896" s="1">
        <v>45485</v>
      </c>
      <c r="F896" t="s">
        <v>88</v>
      </c>
      <c r="G896" t="s">
        <v>26</v>
      </c>
      <c r="H896" t="str">
        <f>INDEX(Table1[Diagnosis],MATCH(I896,'codeand diagnosis'!$A$2:$A$11,0))</f>
        <v>Dental examination</v>
      </c>
      <c r="I896" t="s">
        <v>45</v>
      </c>
      <c r="J896" t="str">
        <f>INDEX(Table1[ICD-10 Code],MATCH(Table2[[#This Row],[Treatment]],Table1[Treatment Type],0))</f>
        <v>Z01.2</v>
      </c>
      <c r="K896" t="s">
        <v>38</v>
      </c>
      <c r="L896" t="s">
        <v>28</v>
      </c>
      <c r="M896" t="s">
        <v>29</v>
      </c>
      <c r="N896">
        <f>Table2[[#This Row],[Total Paid]]+Table2[[#This Row],[Due]]</f>
        <v>0</v>
      </c>
      <c r="O896">
        <v>0</v>
      </c>
      <c r="P896">
        <v>0</v>
      </c>
      <c r="Q896">
        <v>0</v>
      </c>
      <c r="R896">
        <v>0</v>
      </c>
      <c r="S896">
        <v>0</v>
      </c>
      <c r="T896">
        <v>0</v>
      </c>
      <c r="U896">
        <v>0</v>
      </c>
      <c r="V896">
        <v>0</v>
      </c>
      <c r="W896" t="s">
        <v>47</v>
      </c>
      <c r="X896" s="6" t="s">
        <v>1308</v>
      </c>
    </row>
    <row r="897" spans="1:24" hidden="1" x14ac:dyDescent="0.25">
      <c r="A897" t="s">
        <v>1355</v>
      </c>
      <c r="B897" t="s">
        <v>113</v>
      </c>
      <c r="C897" t="s">
        <v>24</v>
      </c>
      <c r="D897">
        <v>7</v>
      </c>
      <c r="E897" s="1">
        <v>45485</v>
      </c>
      <c r="F897" t="s">
        <v>104</v>
      </c>
      <c r="G897" t="s">
        <v>26</v>
      </c>
      <c r="H897" t="str">
        <f>INDEX(Table1[Diagnosis],MATCH(I897,'codeand diagnosis'!$A$2:$A$11,0))</f>
        <v>Dental examination</v>
      </c>
      <c r="I897" t="s">
        <v>45</v>
      </c>
      <c r="J897" t="str">
        <f>INDEX(Table1[ICD-10 Code],MATCH(Table2[[#This Row],[Treatment]],Table1[Treatment Type],0))</f>
        <v>Z01.2</v>
      </c>
      <c r="K897" t="s">
        <v>28</v>
      </c>
      <c r="L897" t="s">
        <v>28</v>
      </c>
      <c r="M897" t="s">
        <v>29</v>
      </c>
      <c r="N897">
        <f>Table2[[#This Row],[Total Paid]]+Table2[[#This Row],[Due]]</f>
        <v>200</v>
      </c>
      <c r="O897">
        <v>0</v>
      </c>
      <c r="P897">
        <v>0</v>
      </c>
      <c r="Q897">
        <v>200</v>
      </c>
      <c r="R897">
        <v>0</v>
      </c>
      <c r="S897">
        <v>0</v>
      </c>
      <c r="T897">
        <v>200</v>
      </c>
      <c r="U897">
        <v>0</v>
      </c>
      <c r="V897">
        <v>200</v>
      </c>
      <c r="W897" t="s">
        <v>51</v>
      </c>
      <c r="X897" s="6" t="s">
        <v>1308</v>
      </c>
    </row>
    <row r="898" spans="1:24" hidden="1" x14ac:dyDescent="0.25">
      <c r="A898" t="s">
        <v>1356</v>
      </c>
      <c r="B898" t="s">
        <v>131</v>
      </c>
      <c r="C898" t="s">
        <v>34</v>
      </c>
      <c r="D898">
        <v>48</v>
      </c>
      <c r="E898" s="1">
        <v>45485</v>
      </c>
      <c r="F898" t="s">
        <v>359</v>
      </c>
      <c r="G898" t="s">
        <v>26</v>
      </c>
      <c r="H898" t="str">
        <f>INDEX(Table1[Diagnosis],MATCH(I898,'codeand diagnosis'!$A$2:$A$11,0))</f>
        <v>Dental examination with radiology</v>
      </c>
      <c r="I898" t="s">
        <v>37</v>
      </c>
      <c r="J898" t="str">
        <f>INDEX(Table1[ICD-10 Code],MATCH(Table2[[#This Row],[Treatment]],Table1[Treatment Type],0))</f>
        <v>Z01.2</v>
      </c>
      <c r="K898" t="s">
        <v>28</v>
      </c>
      <c r="L898" t="s">
        <v>38</v>
      </c>
      <c r="M898" t="s">
        <v>46</v>
      </c>
      <c r="N898">
        <f>Table2[[#This Row],[Total Paid]]+Table2[[#This Row],[Due]]</f>
        <v>350</v>
      </c>
      <c r="O898">
        <v>0</v>
      </c>
      <c r="P898">
        <v>150</v>
      </c>
      <c r="Q898">
        <v>200</v>
      </c>
      <c r="R898">
        <v>0</v>
      </c>
      <c r="S898">
        <v>0</v>
      </c>
      <c r="T898">
        <v>350</v>
      </c>
      <c r="U898">
        <v>0</v>
      </c>
      <c r="V898">
        <v>350</v>
      </c>
      <c r="W898" t="s">
        <v>47</v>
      </c>
      <c r="X898" s="6" t="s">
        <v>1308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22FD-C2CE-41A8-9C09-4414614D57B4}">
  <dimension ref="D1:R62"/>
  <sheetViews>
    <sheetView zoomScaleNormal="100" workbookViewId="0">
      <selection activeCell="D3" sqref="D3"/>
    </sheetView>
  </sheetViews>
  <sheetFormatPr defaultRowHeight="15" x14ac:dyDescent="0.25"/>
  <cols>
    <col min="1" max="1" width="10.140625" bestFit="1" customWidth="1"/>
    <col min="2" max="2" width="12.5703125" bestFit="1" customWidth="1"/>
    <col min="3" max="3" width="11.140625" bestFit="1" customWidth="1"/>
    <col min="4" max="4" width="12.28515625" bestFit="1" customWidth="1"/>
    <col min="5" max="5" width="10" style="1" bestFit="1" customWidth="1"/>
    <col min="6" max="6" width="12.28515625" style="7" bestFit="1" customWidth="1"/>
    <col min="7" max="7" width="10.140625" bestFit="1" customWidth="1"/>
    <col min="8" max="8" width="13.140625" bestFit="1" customWidth="1"/>
    <col min="9" max="9" width="10.140625" bestFit="1" customWidth="1"/>
    <col min="10" max="10" width="9" bestFit="1" customWidth="1"/>
    <col min="11" max="12" width="11.28515625" bestFit="1" customWidth="1"/>
    <col min="13" max="13" width="12.7109375" bestFit="1" customWidth="1"/>
    <col min="14" max="14" width="11.28515625" bestFit="1" customWidth="1"/>
    <col min="15" max="16" width="12.7109375" bestFit="1" customWidth="1"/>
    <col min="17" max="17" width="11.28515625" bestFit="1" customWidth="1"/>
    <col min="18" max="18" width="11.140625" bestFit="1" customWidth="1"/>
    <col min="19" max="19" width="7.7109375" bestFit="1" customWidth="1"/>
    <col min="20" max="20" width="13.140625" bestFit="1" customWidth="1"/>
    <col min="21" max="21" width="11.140625" bestFit="1" customWidth="1"/>
    <col min="22" max="22" width="13.140625" bestFit="1" customWidth="1"/>
    <col min="23" max="23" width="16.28515625" bestFit="1" customWidth="1"/>
    <col min="24" max="24" width="9" bestFit="1" customWidth="1"/>
    <col min="25" max="25" width="11.28515625" bestFit="1" customWidth="1"/>
    <col min="26" max="26" width="7.7109375" bestFit="1" customWidth="1"/>
    <col min="27" max="27" width="15.42578125" bestFit="1" customWidth="1"/>
    <col min="28" max="28" width="16.28515625" bestFit="1" customWidth="1"/>
    <col min="29" max="29" width="9" bestFit="1" customWidth="1"/>
    <col min="30" max="30" width="11.28515625" bestFit="1" customWidth="1"/>
    <col min="31" max="35" width="7.7109375" bestFit="1" customWidth="1"/>
    <col min="36" max="36" width="11.28515625" bestFit="1" customWidth="1"/>
  </cols>
  <sheetData>
    <row r="1" spans="4:18" x14ac:dyDescent="0.25">
      <c r="D1" s="2" t="s">
        <v>1387</v>
      </c>
      <c r="E1" t="s">
        <v>1388</v>
      </c>
      <c r="F1" s="2" t="s">
        <v>1387</v>
      </c>
      <c r="G1" t="s">
        <v>1386</v>
      </c>
      <c r="H1" s="2" t="s">
        <v>1389</v>
      </c>
      <c r="I1" t="s">
        <v>1390</v>
      </c>
      <c r="J1" s="2" t="s">
        <v>1391</v>
      </c>
      <c r="K1" t="s">
        <v>1392</v>
      </c>
      <c r="L1" s="2" t="s">
        <v>1385</v>
      </c>
      <c r="M1" s="7" t="s">
        <v>1386</v>
      </c>
      <c r="N1" s="8" t="s">
        <v>1385</v>
      </c>
      <c r="O1" s="7" t="s">
        <v>1383</v>
      </c>
      <c r="Q1" s="2" t="s">
        <v>1385</v>
      </c>
      <c r="R1" t="s">
        <v>1384</v>
      </c>
    </row>
    <row r="2" spans="4:18" x14ac:dyDescent="0.25">
      <c r="D2" s="3" t="s">
        <v>55</v>
      </c>
      <c r="E2" s="4">
        <v>51398</v>
      </c>
      <c r="F2" s="3" t="s">
        <v>55</v>
      </c>
      <c r="G2" s="4">
        <v>51398</v>
      </c>
      <c r="H2" s="3" t="s">
        <v>26</v>
      </c>
      <c r="I2" s="4">
        <v>1732211.2</v>
      </c>
      <c r="J2" s="3" t="s">
        <v>26</v>
      </c>
      <c r="K2" s="4">
        <v>1336211.2</v>
      </c>
      <c r="L2" s="3" t="s">
        <v>31</v>
      </c>
      <c r="M2" s="7">
        <v>136975.20000000001</v>
      </c>
      <c r="N2" s="3" t="s">
        <v>31</v>
      </c>
      <c r="O2" s="7">
        <v>103925.2</v>
      </c>
      <c r="Q2" s="3" t="s">
        <v>31</v>
      </c>
      <c r="R2" s="4">
        <v>0</v>
      </c>
    </row>
    <row r="3" spans="4:18" x14ac:dyDescent="0.25">
      <c r="D3" s="3" t="s">
        <v>89</v>
      </c>
      <c r="E3" s="4">
        <v>484343</v>
      </c>
      <c r="F3" s="3" t="s">
        <v>89</v>
      </c>
      <c r="G3" s="4">
        <v>647933</v>
      </c>
      <c r="H3" s="3" t="s">
        <v>36</v>
      </c>
      <c r="I3" s="4">
        <v>163368.6</v>
      </c>
      <c r="J3" s="3" t="s">
        <v>36</v>
      </c>
      <c r="K3" s="4">
        <v>139418.6</v>
      </c>
      <c r="L3" s="3" t="s">
        <v>162</v>
      </c>
      <c r="M3" s="7">
        <v>136843.4</v>
      </c>
      <c r="N3" s="3" t="s">
        <v>162</v>
      </c>
      <c r="O3" s="7">
        <v>102223.4</v>
      </c>
      <c r="Q3" s="3" t="s">
        <v>162</v>
      </c>
      <c r="R3" s="4">
        <v>3716</v>
      </c>
    </row>
    <row r="4" spans="4:18" x14ac:dyDescent="0.25">
      <c r="D4" s="3" t="s">
        <v>27</v>
      </c>
      <c r="E4" s="4">
        <v>31776.000000000004</v>
      </c>
      <c r="F4" s="3" t="s">
        <v>27</v>
      </c>
      <c r="G4" s="4">
        <v>31776.000000000004</v>
      </c>
      <c r="H4" s="3" t="s">
        <v>1380</v>
      </c>
      <c r="I4" s="4">
        <v>1895579.8</v>
      </c>
      <c r="J4" s="3" t="s">
        <v>1380</v>
      </c>
      <c r="K4" s="4">
        <v>1475629.8</v>
      </c>
      <c r="L4" s="3" t="s">
        <v>233</v>
      </c>
      <c r="M4" s="7">
        <v>73510.399999999994</v>
      </c>
      <c r="N4" s="3" t="s">
        <v>233</v>
      </c>
      <c r="O4" s="7">
        <v>57710.400000000001</v>
      </c>
      <c r="Q4" s="3" t="s">
        <v>233</v>
      </c>
      <c r="R4" s="4">
        <v>3495</v>
      </c>
    </row>
    <row r="5" spans="4:18" x14ac:dyDescent="0.25">
      <c r="D5" s="3" t="s">
        <v>145</v>
      </c>
      <c r="E5" s="4">
        <v>46363</v>
      </c>
      <c r="F5" s="3" t="s">
        <v>145</v>
      </c>
      <c r="G5" s="4">
        <v>70313</v>
      </c>
      <c r="H5" s="2" t="s">
        <v>1384</v>
      </c>
      <c r="I5" s="2" t="s">
        <v>1411</v>
      </c>
      <c r="L5" s="3" t="s">
        <v>292</v>
      </c>
      <c r="M5" s="7">
        <v>108569.60000000001</v>
      </c>
      <c r="N5" s="3" t="s">
        <v>292</v>
      </c>
      <c r="O5" s="7">
        <v>82989.600000000006</v>
      </c>
      <c r="Q5" s="3" t="s">
        <v>292</v>
      </c>
      <c r="R5" s="4">
        <v>0</v>
      </c>
    </row>
    <row r="6" spans="4:18" x14ac:dyDescent="0.25">
      <c r="D6" s="3" t="s">
        <v>68</v>
      </c>
      <c r="E6" s="4">
        <v>20877</v>
      </c>
      <c r="F6" s="3" t="s">
        <v>68</v>
      </c>
      <c r="G6" s="4">
        <v>20877</v>
      </c>
      <c r="H6" s="2" t="s">
        <v>1379</v>
      </c>
      <c r="I6" t="s">
        <v>26</v>
      </c>
      <c r="J6" t="s">
        <v>36</v>
      </c>
      <c r="K6" t="s">
        <v>1380</v>
      </c>
      <c r="L6" s="3" t="s">
        <v>356</v>
      </c>
      <c r="M6" s="7">
        <v>56856.4</v>
      </c>
      <c r="N6" s="3" t="s">
        <v>356</v>
      </c>
      <c r="O6" s="7">
        <v>47526.400000000001</v>
      </c>
      <c r="Q6" s="3" t="s">
        <v>356</v>
      </c>
      <c r="R6" s="4">
        <v>0</v>
      </c>
    </row>
    <row r="7" spans="4:18" x14ac:dyDescent="0.25">
      <c r="D7" s="3" t="s">
        <v>41</v>
      </c>
      <c r="E7" s="4">
        <v>19103.8</v>
      </c>
      <c r="F7" s="3" t="s">
        <v>41</v>
      </c>
      <c r="G7" s="4">
        <v>19103.8</v>
      </c>
      <c r="H7" s="3" t="s">
        <v>55</v>
      </c>
      <c r="I7" s="4">
        <v>2338</v>
      </c>
      <c r="J7" s="4"/>
      <c r="K7" s="4">
        <v>2338</v>
      </c>
      <c r="L7" s="3" t="s">
        <v>418</v>
      </c>
      <c r="M7" s="7">
        <v>26459.200000000001</v>
      </c>
      <c r="N7" s="3" t="s">
        <v>418</v>
      </c>
      <c r="O7" s="7">
        <v>23299.200000000001</v>
      </c>
      <c r="Q7" s="3" t="s">
        <v>418</v>
      </c>
      <c r="R7" s="4">
        <v>844</v>
      </c>
    </row>
    <row r="8" spans="4:18" x14ac:dyDescent="0.25">
      <c r="D8" s="3" t="s">
        <v>78</v>
      </c>
      <c r="E8" s="4">
        <v>606438</v>
      </c>
      <c r="F8" s="3" t="s">
        <v>78</v>
      </c>
      <c r="G8" s="4">
        <v>838848</v>
      </c>
      <c r="H8" s="3" t="s">
        <v>89</v>
      </c>
      <c r="I8" s="4">
        <v>35842</v>
      </c>
      <c r="J8" s="4"/>
      <c r="K8" s="4">
        <v>35842</v>
      </c>
      <c r="L8" s="3" t="s">
        <v>473</v>
      </c>
      <c r="M8" s="7">
        <v>84297</v>
      </c>
      <c r="N8" s="3" t="s">
        <v>473</v>
      </c>
      <c r="O8" s="7">
        <v>66207</v>
      </c>
      <c r="Q8" s="3" t="s">
        <v>473</v>
      </c>
      <c r="R8" s="4">
        <v>0</v>
      </c>
    </row>
    <row r="9" spans="4:18" x14ac:dyDescent="0.25">
      <c r="D9" s="3" t="s">
        <v>45</v>
      </c>
      <c r="E9" s="4">
        <v>48100</v>
      </c>
      <c r="F9" s="3" t="s">
        <v>45</v>
      </c>
      <c r="G9" s="4">
        <v>48100</v>
      </c>
      <c r="H9" s="3" t="s">
        <v>27</v>
      </c>
      <c r="I9" s="4">
        <v>0</v>
      </c>
      <c r="J9" s="4">
        <v>0</v>
      </c>
      <c r="K9" s="4">
        <v>0</v>
      </c>
      <c r="L9" s="3" t="s">
        <v>518</v>
      </c>
      <c r="M9" s="7">
        <v>46295.4</v>
      </c>
      <c r="N9" s="3" t="s">
        <v>518</v>
      </c>
      <c r="O9" s="7">
        <v>35835.4</v>
      </c>
      <c r="Q9" s="3" t="s">
        <v>518</v>
      </c>
      <c r="R9" s="4">
        <v>8935</v>
      </c>
    </row>
    <row r="10" spans="4:18" x14ac:dyDescent="0.25">
      <c r="D10" s="3" t="s">
        <v>37</v>
      </c>
      <c r="E10" s="4">
        <v>90030</v>
      </c>
      <c r="F10" s="3" t="s">
        <v>37</v>
      </c>
      <c r="G10" s="4">
        <v>90030</v>
      </c>
      <c r="H10" s="3" t="s">
        <v>145</v>
      </c>
      <c r="I10" s="4"/>
      <c r="J10" s="4">
        <v>1197</v>
      </c>
      <c r="K10" s="4">
        <v>1197</v>
      </c>
      <c r="L10" s="3" t="s">
        <v>569</v>
      </c>
      <c r="M10" s="7">
        <v>38989</v>
      </c>
      <c r="N10" s="3" t="s">
        <v>569</v>
      </c>
      <c r="O10" s="7">
        <v>33409</v>
      </c>
      <c r="Q10" s="3" t="s">
        <v>569</v>
      </c>
      <c r="R10" s="4">
        <v>2509</v>
      </c>
    </row>
    <row r="11" spans="4:18" x14ac:dyDescent="0.25">
      <c r="D11" s="3" t="s">
        <v>111</v>
      </c>
      <c r="E11" s="4">
        <v>77201</v>
      </c>
      <c r="F11" s="3" t="s">
        <v>111</v>
      </c>
      <c r="G11" s="4">
        <v>77201</v>
      </c>
      <c r="H11" s="3" t="s">
        <v>68</v>
      </c>
      <c r="I11" s="4"/>
      <c r="J11" s="4">
        <v>0</v>
      </c>
      <c r="K11" s="4">
        <v>0</v>
      </c>
      <c r="L11" s="3" t="s">
        <v>615</v>
      </c>
      <c r="M11" s="7">
        <v>50215</v>
      </c>
      <c r="N11" s="3" t="s">
        <v>615</v>
      </c>
      <c r="O11" s="7">
        <v>43225</v>
      </c>
      <c r="Q11" s="3" t="s">
        <v>615</v>
      </c>
      <c r="R11" s="4">
        <v>0</v>
      </c>
    </row>
    <row r="12" spans="4:18" x14ac:dyDescent="0.25">
      <c r="D12" s="3" t="s">
        <v>1380</v>
      </c>
      <c r="E12" s="4">
        <v>1475629.8</v>
      </c>
      <c r="F12" s="3" t="s">
        <v>1380</v>
      </c>
      <c r="G12" s="4">
        <v>1895579.8</v>
      </c>
      <c r="H12" s="3" t="s">
        <v>41</v>
      </c>
      <c r="I12" s="4"/>
      <c r="J12" s="4">
        <v>0</v>
      </c>
      <c r="K12" s="4">
        <v>0</v>
      </c>
      <c r="L12" s="3" t="s">
        <v>673</v>
      </c>
      <c r="M12" s="7">
        <v>38081.199999999997</v>
      </c>
      <c r="N12" s="3" t="s">
        <v>673</v>
      </c>
      <c r="O12" s="7">
        <v>31171.200000000001</v>
      </c>
      <c r="Q12" s="3" t="s">
        <v>673</v>
      </c>
      <c r="R12" s="4">
        <v>1666</v>
      </c>
    </row>
    <row r="13" spans="4:18" x14ac:dyDescent="0.25">
      <c r="D13" s="2" t="s">
        <v>1394</v>
      </c>
      <c r="E13" s="2" t="s">
        <v>1395</v>
      </c>
      <c r="F13"/>
      <c r="H13" s="3" t="s">
        <v>78</v>
      </c>
      <c r="I13" s="4">
        <v>21852</v>
      </c>
      <c r="J13" s="4"/>
      <c r="K13" s="4">
        <v>21852</v>
      </c>
      <c r="L13" s="3" t="s">
        <v>720</v>
      </c>
      <c r="M13" s="7">
        <v>173873</v>
      </c>
      <c r="N13" s="3" t="s">
        <v>720</v>
      </c>
      <c r="O13" s="7">
        <v>132393</v>
      </c>
      <c r="Q13" s="3" t="s">
        <v>720</v>
      </c>
      <c r="R13" s="4">
        <v>0</v>
      </c>
    </row>
    <row r="14" spans="4:18" x14ac:dyDescent="0.25">
      <c r="D14" s="2" t="s">
        <v>1387</v>
      </c>
      <c r="E14" t="s">
        <v>26</v>
      </c>
      <c r="F14" t="s">
        <v>36</v>
      </c>
      <c r="G14" t="s">
        <v>1380</v>
      </c>
      <c r="H14" s="3" t="s">
        <v>45</v>
      </c>
      <c r="I14" s="4">
        <v>0</v>
      </c>
      <c r="J14" s="4">
        <v>0</v>
      </c>
      <c r="K14" s="4">
        <v>0</v>
      </c>
      <c r="L14" s="3" t="s">
        <v>780</v>
      </c>
      <c r="M14" s="7">
        <v>129080.4</v>
      </c>
      <c r="N14" s="3" t="s">
        <v>780</v>
      </c>
      <c r="O14" s="7">
        <v>97990.399999999994</v>
      </c>
      <c r="Q14" s="3" t="s">
        <v>780</v>
      </c>
      <c r="R14" s="4">
        <v>224</v>
      </c>
    </row>
    <row r="15" spans="4:18" x14ac:dyDescent="0.25">
      <c r="D15" s="3" t="s">
        <v>55</v>
      </c>
      <c r="E15" s="4">
        <v>5582</v>
      </c>
      <c r="F15" s="4"/>
      <c r="G15" s="4">
        <v>5582</v>
      </c>
      <c r="H15" s="3" t="s">
        <v>37</v>
      </c>
      <c r="I15" s="4">
        <v>0</v>
      </c>
      <c r="J15" s="4">
        <v>0</v>
      </c>
      <c r="K15" s="4">
        <v>0</v>
      </c>
      <c r="L15" s="3" t="s">
        <v>845</v>
      </c>
      <c r="M15" s="7">
        <v>61593</v>
      </c>
      <c r="N15" s="3" t="s">
        <v>845</v>
      </c>
      <c r="O15" s="7">
        <v>50803</v>
      </c>
      <c r="Q15" s="3" t="s">
        <v>845</v>
      </c>
      <c r="R15" s="4">
        <v>0</v>
      </c>
    </row>
    <row r="16" spans="4:18" x14ac:dyDescent="0.25">
      <c r="D16" s="3" t="s">
        <v>89</v>
      </c>
      <c r="E16" s="4">
        <v>11450</v>
      </c>
      <c r="F16" s="4"/>
      <c r="G16" s="4">
        <v>11450</v>
      </c>
      <c r="H16" s="3" t="s">
        <v>111</v>
      </c>
      <c r="I16" s="4">
        <v>1552</v>
      </c>
      <c r="J16" s="4"/>
      <c r="K16" s="4">
        <v>1552</v>
      </c>
      <c r="L16" s="3" t="s">
        <v>907</v>
      </c>
      <c r="M16" s="7">
        <v>137501</v>
      </c>
      <c r="N16" s="3" t="s">
        <v>907</v>
      </c>
      <c r="O16" s="7">
        <v>103961</v>
      </c>
      <c r="Q16" s="3" t="s">
        <v>907</v>
      </c>
      <c r="R16" s="4">
        <v>7309</v>
      </c>
    </row>
    <row r="17" spans="4:18" x14ac:dyDescent="0.25">
      <c r="D17" s="3" t="s">
        <v>27</v>
      </c>
      <c r="E17" s="4">
        <v>2270.8000000000002</v>
      </c>
      <c r="F17" s="4">
        <v>867.2</v>
      </c>
      <c r="G17" s="4">
        <v>3138</v>
      </c>
      <c r="H17" s="3" t="s">
        <v>1380</v>
      </c>
      <c r="I17" s="4">
        <v>61584</v>
      </c>
      <c r="J17" s="4">
        <v>1197</v>
      </c>
      <c r="K17" s="4">
        <v>62781</v>
      </c>
      <c r="L17" s="3" t="s">
        <v>953</v>
      </c>
      <c r="M17" s="7">
        <v>52103.6</v>
      </c>
      <c r="N17" s="3" t="s">
        <v>953</v>
      </c>
      <c r="O17" s="7">
        <v>42213.599999999999</v>
      </c>
      <c r="Q17" s="3" t="s">
        <v>953</v>
      </c>
      <c r="R17" s="4">
        <v>863</v>
      </c>
    </row>
    <row r="18" spans="4:18" x14ac:dyDescent="0.25">
      <c r="D18" s="3" t="s">
        <v>145</v>
      </c>
      <c r="E18" s="4"/>
      <c r="F18" s="4">
        <v>300</v>
      </c>
      <c r="G18" s="4">
        <v>300</v>
      </c>
      <c r="H18" s="2" t="s">
        <v>1393</v>
      </c>
      <c r="I18" t="s">
        <v>1382</v>
      </c>
      <c r="L18" s="3" t="s">
        <v>1001</v>
      </c>
      <c r="M18" s="7">
        <v>32949.599999999999</v>
      </c>
      <c r="N18" s="3" t="s">
        <v>1001</v>
      </c>
      <c r="O18" s="7">
        <v>27999.599999999999</v>
      </c>
      <c r="Q18" s="3" t="s">
        <v>1001</v>
      </c>
      <c r="R18" s="4">
        <v>0</v>
      </c>
    </row>
    <row r="19" spans="4:18" x14ac:dyDescent="0.25">
      <c r="D19" s="3" t="s">
        <v>68</v>
      </c>
      <c r="E19" s="4"/>
      <c r="F19" s="4">
        <v>2188</v>
      </c>
      <c r="G19" s="4">
        <v>2188</v>
      </c>
      <c r="H19" s="3" t="s">
        <v>29</v>
      </c>
      <c r="I19" s="4">
        <v>1428923.2</v>
      </c>
      <c r="L19" s="3" t="s">
        <v>1047</v>
      </c>
      <c r="M19" s="7">
        <v>45390</v>
      </c>
      <c r="N19" s="3" t="s">
        <v>1047</v>
      </c>
      <c r="O19" s="7">
        <v>33960</v>
      </c>
      <c r="Q19" s="3" t="s">
        <v>1047</v>
      </c>
      <c r="R19" s="4">
        <v>5821</v>
      </c>
    </row>
    <row r="20" spans="4:18" x14ac:dyDescent="0.25">
      <c r="D20" s="3" t="s">
        <v>41</v>
      </c>
      <c r="E20" s="4"/>
      <c r="F20" s="4">
        <v>1111.2</v>
      </c>
      <c r="G20" s="4">
        <v>1111.2</v>
      </c>
      <c r="H20" s="3" t="s">
        <v>46</v>
      </c>
      <c r="I20" s="4">
        <v>221584.4</v>
      </c>
      <c r="L20" s="3" t="s">
        <v>1086</v>
      </c>
      <c r="M20" s="7">
        <v>76580</v>
      </c>
      <c r="N20" s="3" t="s">
        <v>1086</v>
      </c>
      <c r="O20" s="7">
        <v>60620</v>
      </c>
      <c r="Q20" s="3" t="s">
        <v>1086</v>
      </c>
      <c r="R20" s="4">
        <v>0</v>
      </c>
    </row>
    <row r="21" spans="4:18" x14ac:dyDescent="0.25">
      <c r="D21" s="3" t="s">
        <v>78</v>
      </c>
      <c r="E21" s="4">
        <v>4700</v>
      </c>
      <c r="F21" s="4"/>
      <c r="G21" s="4">
        <v>4700</v>
      </c>
      <c r="H21" s="3" t="s">
        <v>61</v>
      </c>
      <c r="I21" s="4">
        <v>245072.2</v>
      </c>
      <c r="L21" s="3" t="s">
        <v>1128</v>
      </c>
      <c r="M21" s="7">
        <v>85032</v>
      </c>
      <c r="N21" s="3" t="s">
        <v>1128</v>
      </c>
      <c r="O21" s="7">
        <v>63812</v>
      </c>
      <c r="Q21" s="3" t="s">
        <v>1128</v>
      </c>
      <c r="R21" s="4">
        <v>17646</v>
      </c>
    </row>
    <row r="22" spans="4:18" x14ac:dyDescent="0.25">
      <c r="D22" s="3" t="s">
        <v>45</v>
      </c>
      <c r="E22" s="4">
        <v>3930</v>
      </c>
      <c r="F22" s="4">
        <v>1770</v>
      </c>
      <c r="G22" s="4">
        <v>5700</v>
      </c>
      <c r="H22" s="3" t="s">
        <v>1380</v>
      </c>
      <c r="I22" s="4">
        <v>1895579.7999999998</v>
      </c>
      <c r="L22" s="3" t="s">
        <v>1179</v>
      </c>
      <c r="M22" s="7">
        <v>34883.4</v>
      </c>
      <c r="N22" s="3" t="s">
        <v>1179</v>
      </c>
      <c r="O22" s="7">
        <v>25153.4</v>
      </c>
      <c r="Q22" s="3" t="s">
        <v>1179</v>
      </c>
      <c r="R22" s="4">
        <v>9363</v>
      </c>
    </row>
    <row r="23" spans="4:18" x14ac:dyDescent="0.25">
      <c r="D23" s="3" t="s">
        <v>37</v>
      </c>
      <c r="E23" s="4">
        <v>7680</v>
      </c>
      <c r="F23" s="4">
        <v>3490</v>
      </c>
      <c r="G23" s="4">
        <v>11170</v>
      </c>
      <c r="L23" s="3" t="s">
        <v>1215</v>
      </c>
      <c r="M23" s="7">
        <v>148381</v>
      </c>
      <c r="N23" s="3" t="s">
        <v>1215</v>
      </c>
      <c r="O23" s="7">
        <v>113071</v>
      </c>
      <c r="Q23" s="3" t="s">
        <v>1215</v>
      </c>
      <c r="R23" s="4">
        <v>0</v>
      </c>
    </row>
    <row r="24" spans="4:18" x14ac:dyDescent="0.25">
      <c r="D24" s="3" t="s">
        <v>111</v>
      </c>
      <c r="E24" s="4">
        <v>2900</v>
      </c>
      <c r="F24" s="4"/>
      <c r="G24" s="4">
        <v>2900</v>
      </c>
      <c r="L24" s="3" t="s">
        <v>1261</v>
      </c>
      <c r="M24" s="7">
        <v>17501</v>
      </c>
      <c r="N24" s="3" t="s">
        <v>1261</v>
      </c>
      <c r="O24" s="7">
        <v>17501</v>
      </c>
      <c r="Q24" s="3" t="s">
        <v>1261</v>
      </c>
      <c r="R24" s="4">
        <v>0</v>
      </c>
    </row>
    <row r="25" spans="4:18" x14ac:dyDescent="0.25">
      <c r="D25" s="3" t="s">
        <v>1380</v>
      </c>
      <c r="E25" s="4">
        <v>38512.800000000003</v>
      </c>
      <c r="F25" s="4">
        <v>9726.4</v>
      </c>
      <c r="G25" s="4">
        <v>48239.199999999997</v>
      </c>
      <c r="L25" s="3" t="s">
        <v>1308</v>
      </c>
      <c r="M25" s="7">
        <v>103620</v>
      </c>
      <c r="N25" s="3" t="s">
        <v>1308</v>
      </c>
      <c r="O25" s="7">
        <v>78630</v>
      </c>
      <c r="Q25" s="3" t="s">
        <v>1308</v>
      </c>
      <c r="R25" s="4">
        <v>390</v>
      </c>
    </row>
    <row r="26" spans="4:18" x14ac:dyDescent="0.25">
      <c r="L26" s="3" t="s">
        <v>1380</v>
      </c>
      <c r="M26" s="7">
        <v>1895579.8</v>
      </c>
      <c r="N26" s="5" t="s">
        <v>1380</v>
      </c>
      <c r="O26" s="7">
        <v>1475629.8</v>
      </c>
      <c r="Q26" s="3" t="s">
        <v>1380</v>
      </c>
      <c r="R26" s="4">
        <v>62781</v>
      </c>
    </row>
    <row r="45" spans="6:6" x14ac:dyDescent="0.25">
      <c r="F45"/>
    </row>
    <row r="46" spans="6:6" x14ac:dyDescent="0.25">
      <c r="F46"/>
    </row>
    <row r="47" spans="6:6" x14ac:dyDescent="0.25">
      <c r="F47"/>
    </row>
    <row r="48" spans="6:6" x14ac:dyDescent="0.25">
      <c r="F48"/>
    </row>
    <row r="49" spans="5:6" x14ac:dyDescent="0.25">
      <c r="E49"/>
      <c r="F49"/>
    </row>
    <row r="50" spans="5:6" x14ac:dyDescent="0.25">
      <c r="E50"/>
      <c r="F50"/>
    </row>
    <row r="51" spans="5:6" x14ac:dyDescent="0.25">
      <c r="E51"/>
      <c r="F51"/>
    </row>
    <row r="52" spans="5:6" x14ac:dyDescent="0.25">
      <c r="E52"/>
      <c r="F52"/>
    </row>
    <row r="53" spans="5:6" x14ac:dyDescent="0.25">
      <c r="E53"/>
      <c r="F53"/>
    </row>
    <row r="54" spans="5:6" x14ac:dyDescent="0.25">
      <c r="E54"/>
      <c r="F54"/>
    </row>
    <row r="55" spans="5:6" x14ac:dyDescent="0.25">
      <c r="E55"/>
      <c r="F55"/>
    </row>
    <row r="56" spans="5:6" x14ac:dyDescent="0.25">
      <c r="E56"/>
      <c r="F56"/>
    </row>
    <row r="57" spans="5:6" x14ac:dyDescent="0.25">
      <c r="E57"/>
      <c r="F57"/>
    </row>
    <row r="58" spans="5:6" x14ac:dyDescent="0.25">
      <c r="E58"/>
      <c r="F58"/>
    </row>
    <row r="59" spans="5:6" x14ac:dyDescent="0.25">
      <c r="E59"/>
      <c r="F59"/>
    </row>
    <row r="60" spans="5:6" x14ac:dyDescent="0.25">
      <c r="E60"/>
      <c r="F60"/>
    </row>
    <row r="61" spans="5:6" x14ac:dyDescent="0.25">
      <c r="E61"/>
      <c r="F61"/>
    </row>
    <row r="62" spans="5:6" x14ac:dyDescent="0.25">
      <c r="E62"/>
      <c r="F62"/>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A46D-79B6-4942-AB2C-6472301E7887}">
  <dimension ref="C1:W6"/>
  <sheetViews>
    <sheetView tabSelected="1" zoomScale="80" zoomScaleNormal="80" workbookViewId="0">
      <selection activeCell="G4" sqref="G4"/>
    </sheetView>
  </sheetViews>
  <sheetFormatPr defaultRowHeight="15" x14ac:dyDescent="0.25"/>
  <cols>
    <col min="3" max="3" width="65.85546875" bestFit="1" customWidth="1"/>
    <col min="7" max="7" width="53" bestFit="1" customWidth="1"/>
    <col min="9" max="9" width="58.140625" bestFit="1" customWidth="1"/>
    <col min="11" max="11" width="46" bestFit="1" customWidth="1"/>
    <col min="16" max="16" width="24.42578125" bestFit="1" customWidth="1"/>
  </cols>
  <sheetData>
    <row r="1" spans="3:23" x14ac:dyDescent="0.25">
      <c r="F1" t="s">
        <v>1412</v>
      </c>
    </row>
    <row r="2" spans="3:23" ht="57" customHeight="1" x14ac:dyDescent="0.7">
      <c r="C2" s="10" t="s">
        <v>1415</v>
      </c>
      <c r="G2" s="10" t="s">
        <v>1418</v>
      </c>
      <c r="I2" s="13" t="s">
        <v>1416</v>
      </c>
      <c r="K2" s="13" t="s">
        <v>1417</v>
      </c>
    </row>
    <row r="3" spans="3:23" ht="45.75" customHeight="1" x14ac:dyDescent="0.7">
      <c r="C3" s="11">
        <f>SUM('raw data'!N:N)</f>
        <v>1958360.8</v>
      </c>
      <c r="G3" s="12">
        <f>COUNTA('raw data'!A:A)</f>
        <v>898</v>
      </c>
      <c r="I3" s="14">
        <f>SUM('raw data'!V:V)</f>
        <v>1475629.8</v>
      </c>
      <c r="K3" s="11">
        <f>C3/24</f>
        <v>81598.366666666669</v>
      </c>
    </row>
    <row r="4" spans="3:23" ht="46.5" x14ac:dyDescent="0.7">
      <c r="C4" s="16" t="s">
        <v>1419</v>
      </c>
      <c r="G4" s="15"/>
    </row>
    <row r="5" spans="3:23" ht="46.5" x14ac:dyDescent="0.7">
      <c r="C5" s="17">
        <f>SUM(Table2[Total Paid])/Dashboard!C3</f>
        <v>0.96794206665084392</v>
      </c>
    </row>
    <row r="6" spans="3:23" x14ac:dyDescent="0.25">
      <c r="W6" t="s">
        <v>1413</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CE04-C3A7-453B-8141-2F79033E878D}">
  <dimension ref="C1:F13"/>
  <sheetViews>
    <sheetView topLeftCell="B1" workbookViewId="0">
      <selection activeCell="E2" sqref="E2"/>
    </sheetView>
  </sheetViews>
  <sheetFormatPr defaultRowHeight="15" x14ac:dyDescent="0.25"/>
  <cols>
    <col min="1" max="1" width="34.140625" bestFit="1" customWidth="1"/>
    <col min="2" max="2" width="18" bestFit="1" customWidth="1"/>
    <col min="3" max="3" width="32.28515625" bestFit="1" customWidth="1"/>
    <col min="4" max="4" width="18" bestFit="1" customWidth="1"/>
    <col min="5" max="5" width="12.28515625" bestFit="1" customWidth="1"/>
    <col min="6" max="6" width="6" bestFit="1" customWidth="1"/>
    <col min="7" max="7" width="6.7109375" bestFit="1" customWidth="1"/>
    <col min="8" max="8" width="8.7109375" bestFit="1" customWidth="1"/>
    <col min="9" max="9" width="6.7109375" bestFit="1" customWidth="1"/>
    <col min="10" max="10" width="9.85546875" bestFit="1" customWidth="1"/>
    <col min="11" max="11" width="6.42578125" bestFit="1" customWidth="1"/>
    <col min="12" max="12" width="8.7109375" bestFit="1" customWidth="1"/>
    <col min="13" max="13" width="4.85546875" bestFit="1" customWidth="1"/>
    <col min="14" max="14" width="11.7109375" bestFit="1" customWidth="1"/>
    <col min="15" max="15" width="4.28515625" bestFit="1" customWidth="1"/>
    <col min="16" max="16" width="11.28515625" bestFit="1" customWidth="1"/>
  </cols>
  <sheetData>
    <row r="1" spans="3:6" x14ac:dyDescent="0.25">
      <c r="C1" s="2" t="s">
        <v>1379</v>
      </c>
      <c r="D1" t="s">
        <v>1397</v>
      </c>
    </row>
    <row r="2" spans="3:6" x14ac:dyDescent="0.25">
      <c r="C2" s="3" t="s">
        <v>1376</v>
      </c>
      <c r="D2" s="4">
        <v>39</v>
      </c>
      <c r="E2" s="2" t="s">
        <v>1387</v>
      </c>
      <c r="F2" t="s">
        <v>1398</v>
      </c>
    </row>
    <row r="3" spans="3:6" x14ac:dyDescent="0.25">
      <c r="C3" s="3" t="s">
        <v>1365</v>
      </c>
      <c r="D3" s="4">
        <v>23</v>
      </c>
      <c r="E3" s="3" t="s">
        <v>55</v>
      </c>
      <c r="F3" s="4">
        <v>39</v>
      </c>
    </row>
    <row r="4" spans="3:6" x14ac:dyDescent="0.25">
      <c r="C4" s="3" t="s">
        <v>1360</v>
      </c>
      <c r="D4" s="4">
        <v>305</v>
      </c>
      <c r="E4" s="3" t="s">
        <v>89</v>
      </c>
      <c r="F4" s="4">
        <v>44</v>
      </c>
    </row>
    <row r="5" spans="3:6" x14ac:dyDescent="0.25">
      <c r="C5" s="3" t="s">
        <v>1361</v>
      </c>
      <c r="D5" s="4">
        <v>308</v>
      </c>
      <c r="E5" s="3" t="s">
        <v>27</v>
      </c>
      <c r="F5" s="4">
        <v>62</v>
      </c>
    </row>
    <row r="6" spans="3:6" x14ac:dyDescent="0.25">
      <c r="C6" s="3" t="s">
        <v>1363</v>
      </c>
      <c r="D6" s="4">
        <v>62</v>
      </c>
      <c r="E6" s="3" t="s">
        <v>145</v>
      </c>
      <c r="F6" s="4">
        <v>25</v>
      </c>
    </row>
    <row r="7" spans="3:6" x14ac:dyDescent="0.25">
      <c r="C7" s="3" t="s">
        <v>1369</v>
      </c>
      <c r="D7" s="4">
        <v>30</v>
      </c>
      <c r="E7" s="3" t="s">
        <v>68</v>
      </c>
      <c r="F7" s="4">
        <v>30</v>
      </c>
    </row>
    <row r="8" spans="3:6" x14ac:dyDescent="0.25">
      <c r="C8" s="3" t="s">
        <v>1374</v>
      </c>
      <c r="D8" s="4">
        <v>44</v>
      </c>
      <c r="E8" s="3" t="s">
        <v>41</v>
      </c>
      <c r="F8" s="4">
        <v>23</v>
      </c>
    </row>
    <row r="9" spans="3:6" x14ac:dyDescent="0.25">
      <c r="C9" s="3" t="s">
        <v>1372</v>
      </c>
      <c r="D9" s="4">
        <v>36</v>
      </c>
      <c r="E9" s="3" t="s">
        <v>78</v>
      </c>
      <c r="F9" s="4">
        <v>36</v>
      </c>
    </row>
    <row r="10" spans="3:6" x14ac:dyDescent="0.25">
      <c r="C10" s="3" t="s">
        <v>1367</v>
      </c>
      <c r="D10" s="4">
        <v>25</v>
      </c>
      <c r="E10" s="3" t="s">
        <v>45</v>
      </c>
      <c r="F10" s="4">
        <v>305</v>
      </c>
    </row>
    <row r="11" spans="3:6" x14ac:dyDescent="0.25">
      <c r="C11" s="3" t="s">
        <v>1371</v>
      </c>
      <c r="D11" s="4">
        <v>25</v>
      </c>
      <c r="E11" s="3" t="s">
        <v>37</v>
      </c>
      <c r="F11" s="4">
        <v>308</v>
      </c>
    </row>
    <row r="12" spans="3:6" x14ac:dyDescent="0.25">
      <c r="C12" s="3" t="s">
        <v>1380</v>
      </c>
      <c r="D12" s="4">
        <v>897</v>
      </c>
      <c r="E12" s="3" t="s">
        <v>111</v>
      </c>
      <c r="F12" s="4">
        <v>25</v>
      </c>
    </row>
    <row r="13" spans="3:6" x14ac:dyDescent="0.25">
      <c r="E13" s="3" t="s">
        <v>1380</v>
      </c>
      <c r="F13" s="4">
        <v>897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sqref="A1:C11"/>
    </sheetView>
  </sheetViews>
  <sheetFormatPr defaultRowHeight="15" x14ac:dyDescent="0.25"/>
  <cols>
    <col min="1" max="1" width="17.140625" customWidth="1"/>
    <col min="2" max="2" width="13.85546875" customWidth="1"/>
    <col min="3" max="3" width="32.28515625" bestFit="1" customWidth="1"/>
  </cols>
  <sheetData>
    <row r="1" spans="1:3" x14ac:dyDescent="0.25">
      <c r="A1" t="s">
        <v>11</v>
      </c>
      <c r="B1" t="s">
        <v>1357</v>
      </c>
      <c r="C1" t="s">
        <v>1358</v>
      </c>
    </row>
    <row r="2" spans="1:3" x14ac:dyDescent="0.25">
      <c r="A2" t="s">
        <v>45</v>
      </c>
      <c r="B2" t="s">
        <v>1359</v>
      </c>
      <c r="C2" t="s">
        <v>1360</v>
      </c>
    </row>
    <row r="3" spans="1:3" x14ac:dyDescent="0.25">
      <c r="A3" t="s">
        <v>37</v>
      </c>
      <c r="B3" t="s">
        <v>1359</v>
      </c>
      <c r="C3" t="s">
        <v>1361</v>
      </c>
    </row>
    <row r="4" spans="1:3" x14ac:dyDescent="0.25">
      <c r="A4" t="s">
        <v>27</v>
      </c>
      <c r="B4" t="s">
        <v>1362</v>
      </c>
      <c r="C4" t="s">
        <v>1363</v>
      </c>
    </row>
    <row r="5" spans="1:3" x14ac:dyDescent="0.25">
      <c r="A5" t="s">
        <v>41</v>
      </c>
      <c r="B5" t="s">
        <v>1364</v>
      </c>
      <c r="C5" t="s">
        <v>1365</v>
      </c>
    </row>
    <row r="6" spans="1:3" x14ac:dyDescent="0.25">
      <c r="A6" t="s">
        <v>111</v>
      </c>
      <c r="B6" t="s">
        <v>1366</v>
      </c>
      <c r="C6" t="s">
        <v>1367</v>
      </c>
    </row>
    <row r="7" spans="1:3" x14ac:dyDescent="0.25">
      <c r="A7" t="s">
        <v>68</v>
      </c>
      <c r="B7" t="s">
        <v>1368</v>
      </c>
      <c r="C7" t="s">
        <v>1369</v>
      </c>
    </row>
    <row r="8" spans="1:3" x14ac:dyDescent="0.25">
      <c r="A8" t="s">
        <v>145</v>
      </c>
      <c r="B8" t="s">
        <v>1370</v>
      </c>
      <c r="C8" t="s">
        <v>1371</v>
      </c>
    </row>
    <row r="9" spans="1:3" x14ac:dyDescent="0.25">
      <c r="A9" t="s">
        <v>78</v>
      </c>
      <c r="B9" t="s">
        <v>1368</v>
      </c>
      <c r="C9" t="s">
        <v>1372</v>
      </c>
    </row>
    <row r="10" spans="1:3" x14ac:dyDescent="0.25">
      <c r="A10" t="s">
        <v>89</v>
      </c>
      <c r="B10" t="s">
        <v>1373</v>
      </c>
      <c r="C10" t="s">
        <v>1374</v>
      </c>
    </row>
    <row r="11" spans="1:3" x14ac:dyDescent="0.25">
      <c r="A11" t="s">
        <v>55</v>
      </c>
      <c r="B11" t="s">
        <v>1375</v>
      </c>
      <c r="C11" t="s">
        <v>1376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87ED-7B74-4030-B519-3615ABD10180}">
  <dimension ref="A1:F21"/>
  <sheetViews>
    <sheetView workbookViewId="0">
      <selection activeCell="C2" sqref="C2"/>
    </sheetView>
  </sheetViews>
  <sheetFormatPr defaultRowHeight="15" x14ac:dyDescent="0.25"/>
  <cols>
    <col min="1" max="1" width="11.28515625" bestFit="1" customWidth="1"/>
    <col min="2" max="2" width="9.7109375" bestFit="1" customWidth="1"/>
    <col min="3" max="3" width="13.140625" bestFit="1" customWidth="1"/>
    <col min="4" max="4" width="12.5703125" bestFit="1" customWidth="1"/>
    <col min="5" max="5" width="11.140625" bestFit="1" customWidth="1"/>
    <col min="6" max="6" width="16.42578125" bestFit="1" customWidth="1"/>
    <col min="7" max="7" width="6.7109375" bestFit="1" customWidth="1"/>
    <col min="8" max="8" width="9.85546875" bestFit="1" customWidth="1"/>
    <col min="9" max="9" width="6.42578125" bestFit="1" customWidth="1"/>
    <col min="10" max="10" width="8.7109375" bestFit="1" customWidth="1"/>
    <col min="11" max="11" width="4.85546875" bestFit="1" customWidth="1"/>
    <col min="12" max="12" width="11.7109375" bestFit="1" customWidth="1"/>
    <col min="13" max="13" width="4.28515625" bestFit="1" customWidth="1"/>
    <col min="14" max="14" width="11.28515625" bestFit="1" customWidth="1"/>
  </cols>
  <sheetData>
    <row r="1" spans="1:6" x14ac:dyDescent="0.25">
      <c r="A1" s="2" t="s">
        <v>1399</v>
      </c>
      <c r="B1" t="s">
        <v>1396</v>
      </c>
      <c r="C1" s="2" t="s">
        <v>1379</v>
      </c>
      <c r="D1" t="s">
        <v>1383</v>
      </c>
      <c r="E1" t="s">
        <v>1384</v>
      </c>
      <c r="F1" t="s">
        <v>1382</v>
      </c>
    </row>
    <row r="2" spans="1:6" x14ac:dyDescent="0.25">
      <c r="A2" s="3" t="s">
        <v>26</v>
      </c>
      <c r="B2" s="4">
        <v>617</v>
      </c>
      <c r="C2" s="3" t="s">
        <v>26</v>
      </c>
      <c r="D2" s="4">
        <v>1336211.2</v>
      </c>
      <c r="E2" s="4">
        <v>61584</v>
      </c>
      <c r="F2" s="4">
        <v>1732211.2</v>
      </c>
    </row>
    <row r="3" spans="1:6" x14ac:dyDescent="0.25">
      <c r="A3" s="3" t="s">
        <v>36</v>
      </c>
      <c r="B3" s="4">
        <v>280</v>
      </c>
      <c r="C3" s="3" t="s">
        <v>36</v>
      </c>
      <c r="D3" s="4">
        <v>139418.6</v>
      </c>
      <c r="E3" s="4">
        <v>1197</v>
      </c>
      <c r="F3" s="4">
        <v>163368.6</v>
      </c>
    </row>
    <row r="4" spans="1:6" x14ac:dyDescent="0.25">
      <c r="A4" s="3" t="s">
        <v>1380</v>
      </c>
      <c r="B4" s="4">
        <v>897</v>
      </c>
      <c r="C4" s="3" t="s">
        <v>1380</v>
      </c>
      <c r="D4" s="4">
        <v>1475629.8</v>
      </c>
      <c r="E4" s="4">
        <v>62781</v>
      </c>
      <c r="F4" s="4">
        <v>1895579.8</v>
      </c>
    </row>
    <row r="5" spans="1:6" x14ac:dyDescent="0.25">
      <c r="C5" s="2" t="s">
        <v>1400</v>
      </c>
      <c r="D5" t="s">
        <v>1401</v>
      </c>
    </row>
    <row r="6" spans="1:6" x14ac:dyDescent="0.25">
      <c r="C6" s="3" t="s">
        <v>26</v>
      </c>
      <c r="D6" s="4">
        <v>617</v>
      </c>
    </row>
    <row r="7" spans="1:6" x14ac:dyDescent="0.25">
      <c r="C7" s="9" t="s">
        <v>55</v>
      </c>
      <c r="D7" s="4">
        <v>39</v>
      </c>
    </row>
    <row r="8" spans="1:6" x14ac:dyDescent="0.25">
      <c r="C8" s="9" t="s">
        <v>89</v>
      </c>
      <c r="D8" s="4">
        <v>44</v>
      </c>
    </row>
    <row r="9" spans="1:6" x14ac:dyDescent="0.25">
      <c r="C9" s="9" t="s">
        <v>27</v>
      </c>
      <c r="D9" s="4">
        <v>42</v>
      </c>
    </row>
    <row r="10" spans="1:6" x14ac:dyDescent="0.25">
      <c r="C10" s="9" t="s">
        <v>78</v>
      </c>
      <c r="D10" s="4">
        <v>36</v>
      </c>
    </row>
    <row r="11" spans="1:6" x14ac:dyDescent="0.25">
      <c r="C11" s="9" t="s">
        <v>45</v>
      </c>
      <c r="D11" s="4">
        <v>220</v>
      </c>
    </row>
    <row r="12" spans="1:6" x14ac:dyDescent="0.25">
      <c r="C12" s="9" t="s">
        <v>37</v>
      </c>
      <c r="D12" s="4">
        <v>211</v>
      </c>
    </row>
    <row r="13" spans="1:6" x14ac:dyDescent="0.25">
      <c r="C13" s="9" t="s">
        <v>111</v>
      </c>
      <c r="D13" s="4">
        <v>25</v>
      </c>
    </row>
    <row r="14" spans="1:6" x14ac:dyDescent="0.25">
      <c r="C14" s="3" t="s">
        <v>36</v>
      </c>
      <c r="D14" s="4">
        <v>280</v>
      </c>
    </row>
    <row r="15" spans="1:6" x14ac:dyDescent="0.25">
      <c r="C15" s="9" t="s">
        <v>27</v>
      </c>
      <c r="D15" s="4">
        <v>20</v>
      </c>
    </row>
    <row r="16" spans="1:6" x14ac:dyDescent="0.25">
      <c r="C16" s="9" t="s">
        <v>145</v>
      </c>
      <c r="D16" s="4">
        <v>25</v>
      </c>
    </row>
    <row r="17" spans="3:4" x14ac:dyDescent="0.25">
      <c r="C17" s="9" t="s">
        <v>68</v>
      </c>
      <c r="D17" s="4">
        <v>30</v>
      </c>
    </row>
    <row r="18" spans="3:4" x14ac:dyDescent="0.25">
      <c r="C18" s="9" t="s">
        <v>41</v>
      </c>
      <c r="D18" s="4">
        <v>23</v>
      </c>
    </row>
    <row r="19" spans="3:4" x14ac:dyDescent="0.25">
      <c r="C19" s="9" t="s">
        <v>45</v>
      </c>
      <c r="D19" s="4">
        <v>85</v>
      </c>
    </row>
    <row r="20" spans="3:4" x14ac:dyDescent="0.25">
      <c r="C20" s="9" t="s">
        <v>37</v>
      </c>
      <c r="D20" s="4">
        <v>97</v>
      </c>
    </row>
    <row r="21" spans="3:4" x14ac:dyDescent="0.25">
      <c r="C21" s="3" t="s">
        <v>1380</v>
      </c>
      <c r="D21" s="4">
        <v>897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2977-D2F5-4B01-93B9-5091A4DDF21A}">
  <dimension ref="A1:Q42"/>
  <sheetViews>
    <sheetView topLeftCell="A2" workbookViewId="0">
      <selection activeCell="D20" sqref="D20"/>
    </sheetView>
  </sheetViews>
  <sheetFormatPr defaultRowHeight="15" x14ac:dyDescent="0.25"/>
  <cols>
    <col min="1" max="1" width="14.140625" bestFit="1" customWidth="1"/>
    <col min="2" max="2" width="15.7109375" bestFit="1" customWidth="1"/>
    <col min="3" max="3" width="13.140625" bestFit="1" customWidth="1"/>
    <col min="4" max="4" width="16" bestFit="1" customWidth="1"/>
    <col min="5" max="5" width="16.85546875" bestFit="1" customWidth="1"/>
    <col min="6" max="6" width="17.42578125" bestFit="1" customWidth="1"/>
    <col min="7" max="7" width="16.28515625" bestFit="1" customWidth="1"/>
    <col min="8" max="8" width="6.7109375" bestFit="1" customWidth="1"/>
    <col min="9" max="9" width="8.7109375" bestFit="1" customWidth="1"/>
    <col min="10" max="10" width="6.7109375" bestFit="1" customWidth="1"/>
    <col min="11" max="11" width="9.85546875" bestFit="1" customWidth="1"/>
    <col min="12" max="12" width="6.42578125" bestFit="1" customWidth="1"/>
    <col min="13" max="13" width="8.7109375" bestFit="1" customWidth="1"/>
    <col min="14" max="14" width="4.85546875" bestFit="1" customWidth="1"/>
    <col min="15" max="15" width="11.7109375" bestFit="1" customWidth="1"/>
    <col min="16" max="16" width="4.28515625" bestFit="1" customWidth="1"/>
    <col min="17" max="17" width="11.28515625" bestFit="1" customWidth="1"/>
    <col min="18" max="39" width="3" bestFit="1" customWidth="1"/>
    <col min="40" max="40" width="14.5703125" bestFit="1" customWidth="1"/>
    <col min="41" max="41" width="8.5703125" bestFit="1" customWidth="1"/>
    <col min="42" max="42" width="2" bestFit="1" customWidth="1"/>
    <col min="43" max="76" width="3" bestFit="1" customWidth="1"/>
    <col min="77" max="77" width="11.5703125" bestFit="1" customWidth="1"/>
    <col min="78" max="78" width="10.5703125" bestFit="1" customWidth="1"/>
    <col min="79" max="80" width="2" bestFit="1" customWidth="1"/>
    <col min="81" max="121" width="3" bestFit="1" customWidth="1"/>
    <col min="122" max="122" width="13.7109375" bestFit="1" customWidth="1"/>
    <col min="123" max="123" width="8.5703125" bestFit="1" customWidth="1"/>
    <col min="124" max="143" width="3" bestFit="1" customWidth="1"/>
    <col min="144" max="144" width="11.5703125" bestFit="1" customWidth="1"/>
    <col min="145" max="145" width="11.7109375" bestFit="1" customWidth="1"/>
    <col min="146" max="168" width="3" bestFit="1" customWidth="1"/>
    <col min="169" max="169" width="14.85546875" bestFit="1" customWidth="1"/>
    <col min="170" max="170" width="8.28515625" bestFit="1" customWidth="1"/>
    <col min="171" max="191" width="3" bestFit="1" customWidth="1"/>
    <col min="192" max="192" width="11.28515625" bestFit="1" customWidth="1"/>
    <col min="193" max="193" width="10.5703125" bestFit="1" customWidth="1"/>
    <col min="194" max="195" width="2" bestFit="1" customWidth="1"/>
    <col min="196" max="220" width="3" bestFit="1" customWidth="1"/>
    <col min="221" max="221" width="13.7109375" bestFit="1" customWidth="1"/>
    <col min="222" max="222" width="6.7109375" bestFit="1" customWidth="1"/>
    <col min="223" max="226" width="2" bestFit="1" customWidth="1"/>
    <col min="227" max="295" width="3" bestFit="1" customWidth="1"/>
    <col min="296" max="296" width="9.7109375" bestFit="1" customWidth="1"/>
    <col min="297" max="297" width="13.5703125" bestFit="1" customWidth="1"/>
    <col min="298" max="301" width="2" bestFit="1" customWidth="1"/>
    <col min="302" max="371" width="3" bestFit="1" customWidth="1"/>
    <col min="372" max="372" width="16.7109375" bestFit="1" customWidth="1"/>
    <col min="373" max="373" width="6.140625" bestFit="1" customWidth="1"/>
    <col min="374" max="376" width="2" bestFit="1" customWidth="1"/>
    <col min="377" max="392" width="3" bestFit="1" customWidth="1"/>
    <col min="394" max="394" width="11.28515625" bestFit="1" customWidth="1"/>
  </cols>
  <sheetData>
    <row r="1" spans="1:17" x14ac:dyDescent="0.25">
      <c r="A1" s="2" t="s">
        <v>1393</v>
      </c>
      <c r="B1" t="s">
        <v>1402</v>
      </c>
      <c r="F1" s="2" t="s">
        <v>3</v>
      </c>
      <c r="G1" t="s">
        <v>1406</v>
      </c>
    </row>
    <row r="2" spans="1:17" x14ac:dyDescent="0.25">
      <c r="A2" s="3" t="s">
        <v>29</v>
      </c>
      <c r="B2" s="4">
        <v>692</v>
      </c>
    </row>
    <row r="3" spans="1:17" x14ac:dyDescent="0.25">
      <c r="A3" s="3" t="s">
        <v>46</v>
      </c>
      <c r="B3" s="4">
        <v>129</v>
      </c>
      <c r="F3" s="2" t="s">
        <v>1405</v>
      </c>
      <c r="G3" s="2" t="s">
        <v>1381</v>
      </c>
    </row>
    <row r="4" spans="1:17" x14ac:dyDescent="0.25">
      <c r="A4" s="3" t="s">
        <v>61</v>
      </c>
      <c r="B4" s="4">
        <v>76</v>
      </c>
      <c r="F4" s="2" t="s">
        <v>1379</v>
      </c>
      <c r="G4" t="s">
        <v>55</v>
      </c>
      <c r="H4" t="s">
        <v>89</v>
      </c>
      <c r="I4" t="s">
        <v>27</v>
      </c>
      <c r="J4" t="s">
        <v>145</v>
      </c>
      <c r="K4" t="s">
        <v>68</v>
      </c>
      <c r="L4" t="s">
        <v>41</v>
      </c>
      <c r="M4" t="s">
        <v>78</v>
      </c>
      <c r="N4" t="s">
        <v>45</v>
      </c>
      <c r="O4" t="s">
        <v>37</v>
      </c>
      <c r="P4" t="s">
        <v>111</v>
      </c>
      <c r="Q4" t="s">
        <v>1380</v>
      </c>
    </row>
    <row r="5" spans="1:17" x14ac:dyDescent="0.25">
      <c r="A5" s="3" t="s">
        <v>1380</v>
      </c>
      <c r="B5" s="4">
        <v>897</v>
      </c>
      <c r="F5" s="3" t="s">
        <v>24</v>
      </c>
      <c r="G5" s="4">
        <v>16</v>
      </c>
      <c r="H5" s="4">
        <v>23</v>
      </c>
      <c r="I5" s="4">
        <v>38</v>
      </c>
      <c r="J5" s="4">
        <v>10</v>
      </c>
      <c r="K5" s="4">
        <v>14</v>
      </c>
      <c r="L5" s="4">
        <v>11</v>
      </c>
      <c r="M5" s="4">
        <v>18</v>
      </c>
      <c r="N5" s="4">
        <v>140</v>
      </c>
      <c r="O5" s="4">
        <v>146</v>
      </c>
      <c r="P5" s="4">
        <v>12</v>
      </c>
      <c r="Q5" s="4">
        <v>428</v>
      </c>
    </row>
    <row r="6" spans="1:17" x14ac:dyDescent="0.25">
      <c r="F6" s="3" t="s">
        <v>34</v>
      </c>
      <c r="G6" s="4">
        <v>23</v>
      </c>
      <c r="H6" s="4">
        <v>21</v>
      </c>
      <c r="I6" s="4">
        <v>24</v>
      </c>
      <c r="J6" s="4">
        <v>15</v>
      </c>
      <c r="K6" s="4">
        <v>16</v>
      </c>
      <c r="L6" s="4">
        <v>12</v>
      </c>
      <c r="M6" s="4">
        <v>18</v>
      </c>
      <c r="N6" s="4">
        <v>165</v>
      </c>
      <c r="O6" s="4">
        <v>162</v>
      </c>
      <c r="P6" s="4">
        <v>13</v>
      </c>
      <c r="Q6" s="4">
        <v>469</v>
      </c>
    </row>
    <row r="7" spans="1:17" x14ac:dyDescent="0.25">
      <c r="F7" s="3" t="s">
        <v>1380</v>
      </c>
      <c r="G7" s="4">
        <v>39</v>
      </c>
      <c r="H7" s="4">
        <v>44</v>
      </c>
      <c r="I7" s="4">
        <v>62</v>
      </c>
      <c r="J7" s="4">
        <v>25</v>
      </c>
      <c r="K7" s="4">
        <v>30</v>
      </c>
      <c r="L7" s="4">
        <v>23</v>
      </c>
      <c r="M7" s="4">
        <v>36</v>
      </c>
      <c r="N7" s="4">
        <v>305</v>
      </c>
      <c r="O7" s="4">
        <v>308</v>
      </c>
      <c r="P7" s="4">
        <v>25</v>
      </c>
      <c r="Q7" s="4">
        <v>897</v>
      </c>
    </row>
    <row r="17" spans="3:4" x14ac:dyDescent="0.25">
      <c r="C17" s="2" t="s">
        <v>1379</v>
      </c>
      <c r="D17" t="s">
        <v>1403</v>
      </c>
    </row>
    <row r="18" spans="3:4" x14ac:dyDescent="0.25">
      <c r="C18" s="3" t="s">
        <v>31</v>
      </c>
      <c r="D18" s="4">
        <v>49</v>
      </c>
    </row>
    <row r="19" spans="3:4" x14ac:dyDescent="0.25">
      <c r="C19" s="3" t="s">
        <v>162</v>
      </c>
      <c r="D19" s="4">
        <v>38</v>
      </c>
    </row>
    <row r="20" spans="3:4" x14ac:dyDescent="0.25">
      <c r="C20" s="3" t="s">
        <v>233</v>
      </c>
      <c r="D20" s="4">
        <v>34</v>
      </c>
    </row>
    <row r="21" spans="3:4" x14ac:dyDescent="0.25">
      <c r="C21" s="3" t="s">
        <v>292</v>
      </c>
      <c r="D21" s="4">
        <v>42</v>
      </c>
    </row>
    <row r="22" spans="3:4" x14ac:dyDescent="0.25">
      <c r="C22" s="3" t="s">
        <v>356</v>
      </c>
      <c r="D22" s="4">
        <v>40</v>
      </c>
    </row>
    <row r="23" spans="3:4" x14ac:dyDescent="0.25">
      <c r="C23" s="3" t="s">
        <v>418</v>
      </c>
      <c r="D23" s="4">
        <v>36</v>
      </c>
    </row>
    <row r="24" spans="3:4" x14ac:dyDescent="0.25">
      <c r="C24" s="3" t="s">
        <v>473</v>
      </c>
      <c r="D24" s="4">
        <v>33</v>
      </c>
    </row>
    <row r="25" spans="3:4" x14ac:dyDescent="0.25">
      <c r="C25" s="3" t="s">
        <v>518</v>
      </c>
      <c r="D25" s="4">
        <v>35</v>
      </c>
    </row>
    <row r="26" spans="3:4" x14ac:dyDescent="0.25">
      <c r="C26" s="3" t="s">
        <v>569</v>
      </c>
      <c r="D26" s="4">
        <v>32</v>
      </c>
    </row>
    <row r="27" spans="3:4" x14ac:dyDescent="0.25">
      <c r="C27" s="3" t="s">
        <v>615</v>
      </c>
      <c r="D27" s="4">
        <v>41</v>
      </c>
    </row>
    <row r="28" spans="3:4" x14ac:dyDescent="0.25">
      <c r="C28" s="3" t="s">
        <v>673</v>
      </c>
      <c r="D28" s="4">
        <v>35</v>
      </c>
    </row>
    <row r="29" spans="3:4" x14ac:dyDescent="0.25">
      <c r="C29" s="3" t="s">
        <v>720</v>
      </c>
      <c r="D29" s="4">
        <v>45</v>
      </c>
    </row>
    <row r="30" spans="3:4" x14ac:dyDescent="0.25">
      <c r="C30" s="3" t="s">
        <v>780</v>
      </c>
      <c r="D30" s="4">
        <v>50</v>
      </c>
    </row>
    <row r="31" spans="3:4" x14ac:dyDescent="0.25">
      <c r="C31" s="3" t="s">
        <v>845</v>
      </c>
      <c r="D31" s="4">
        <v>47</v>
      </c>
    </row>
    <row r="32" spans="3:4" x14ac:dyDescent="0.25">
      <c r="C32" s="3" t="s">
        <v>907</v>
      </c>
      <c r="D32" s="4">
        <v>36</v>
      </c>
    </row>
    <row r="33" spans="3:4" x14ac:dyDescent="0.25">
      <c r="C33" s="3" t="s">
        <v>953</v>
      </c>
      <c r="D33" s="4">
        <v>34</v>
      </c>
    </row>
    <row r="34" spans="3:4" x14ac:dyDescent="0.25">
      <c r="C34" s="3" t="s">
        <v>1001</v>
      </c>
      <c r="D34" s="4">
        <v>33</v>
      </c>
    </row>
    <row r="35" spans="3:4" x14ac:dyDescent="0.25">
      <c r="C35" s="3" t="s">
        <v>1047</v>
      </c>
      <c r="D35" s="4">
        <v>27</v>
      </c>
    </row>
    <row r="36" spans="3:4" x14ac:dyDescent="0.25">
      <c r="C36" s="3" t="s">
        <v>1086</v>
      </c>
      <c r="D36" s="4">
        <v>30</v>
      </c>
    </row>
    <row r="37" spans="3:4" x14ac:dyDescent="0.25">
      <c r="C37" s="3" t="s">
        <v>1128</v>
      </c>
      <c r="D37" s="4">
        <v>38</v>
      </c>
    </row>
    <row r="38" spans="3:4" x14ac:dyDescent="0.25">
      <c r="C38" s="3" t="s">
        <v>1179</v>
      </c>
      <c r="D38" s="4">
        <v>27</v>
      </c>
    </row>
    <row r="39" spans="3:4" x14ac:dyDescent="0.25">
      <c r="C39" s="3" t="s">
        <v>1215</v>
      </c>
      <c r="D39" s="4">
        <v>34</v>
      </c>
    </row>
    <row r="40" spans="3:4" x14ac:dyDescent="0.25">
      <c r="C40" s="3" t="s">
        <v>1261</v>
      </c>
      <c r="D40" s="4">
        <v>32</v>
      </c>
    </row>
    <row r="41" spans="3:4" x14ac:dyDescent="0.25">
      <c r="C41" s="3" t="s">
        <v>1308</v>
      </c>
      <c r="D41" s="4">
        <v>49</v>
      </c>
    </row>
    <row r="42" spans="3:4" x14ac:dyDescent="0.25">
      <c r="C42" s="3" t="s">
        <v>1380</v>
      </c>
      <c r="D42" s="4">
        <v>897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592F-FC4D-46F4-8B35-B99D3FDB9C75}">
  <dimension ref="A1:D4"/>
  <sheetViews>
    <sheetView workbookViewId="0">
      <selection activeCell="C6" sqref="C6"/>
    </sheetView>
  </sheetViews>
  <sheetFormatPr defaultRowHeight="15" x14ac:dyDescent="0.25"/>
  <cols>
    <col min="1" max="1" width="11.28515625" bestFit="1" customWidth="1"/>
    <col min="2" max="2" width="16.85546875" bestFit="1" customWidth="1"/>
    <col min="3" max="3" width="17" bestFit="1" customWidth="1"/>
    <col min="4" max="4" width="18.28515625" bestFit="1" customWidth="1"/>
  </cols>
  <sheetData>
    <row r="1" spans="1:4" x14ac:dyDescent="0.25">
      <c r="A1" s="2" t="s">
        <v>1407</v>
      </c>
      <c r="B1" t="s">
        <v>1404</v>
      </c>
      <c r="C1" t="s">
        <v>1408</v>
      </c>
      <c r="D1" t="s">
        <v>1409</v>
      </c>
    </row>
    <row r="2" spans="1:4" x14ac:dyDescent="0.25">
      <c r="A2" s="3" t="s">
        <v>28</v>
      </c>
      <c r="B2" s="4">
        <v>399</v>
      </c>
      <c r="C2" s="4">
        <v>46200</v>
      </c>
      <c r="D2" s="4">
        <v>419950</v>
      </c>
    </row>
    <row r="3" spans="1:4" x14ac:dyDescent="0.25">
      <c r="A3" s="3" t="s">
        <v>38</v>
      </c>
      <c r="B3" s="4">
        <v>498</v>
      </c>
    </row>
    <row r="4" spans="1:4" x14ac:dyDescent="0.25">
      <c r="A4" s="3" t="s">
        <v>1380</v>
      </c>
      <c r="B4" s="4">
        <v>897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C344-FD4B-4771-8E8B-4DB9F808C8E2}">
  <dimension ref="A1:B6"/>
  <sheetViews>
    <sheetView workbookViewId="0">
      <selection activeCell="B3" sqref="B3"/>
    </sheetView>
  </sheetViews>
  <sheetFormatPr defaultRowHeight="15" x14ac:dyDescent="0.25"/>
  <cols>
    <col min="1" max="1" width="18.7109375" bestFit="1" customWidth="1"/>
    <col min="2" max="2" width="16.42578125" bestFit="1" customWidth="1"/>
  </cols>
  <sheetData>
    <row r="1" spans="1:2" x14ac:dyDescent="0.25">
      <c r="A1" s="2" t="s">
        <v>1410</v>
      </c>
      <c r="B1" t="s">
        <v>1382</v>
      </c>
    </row>
    <row r="2" spans="1:2" x14ac:dyDescent="0.25">
      <c r="A2" s="3" t="s">
        <v>47</v>
      </c>
      <c r="B2" s="4">
        <v>358287</v>
      </c>
    </row>
    <row r="3" spans="1:2" x14ac:dyDescent="0.25">
      <c r="A3" s="3" t="s">
        <v>42</v>
      </c>
      <c r="B3" s="4">
        <v>569237.80000000005</v>
      </c>
    </row>
    <row r="4" spans="1:2" x14ac:dyDescent="0.25">
      <c r="A4" s="3" t="s">
        <v>30</v>
      </c>
      <c r="B4" s="4">
        <v>165537.19999999998</v>
      </c>
    </row>
    <row r="5" spans="1:2" x14ac:dyDescent="0.25">
      <c r="A5" s="3" t="s">
        <v>51</v>
      </c>
      <c r="B5" s="4">
        <v>802517.79999999993</v>
      </c>
    </row>
    <row r="6" spans="1:2" x14ac:dyDescent="0.25">
      <c r="A6" s="3" t="s">
        <v>1380</v>
      </c>
      <c r="B6" s="4">
        <v>1895579.7999999998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1F1EBD0-82D3-4DEE-B669-CEC101040383}">
  <ds:schemaRefs/>
</ds:datastoreItem>
</file>

<file path=customXml/itemProps2.xml><?xml version="1.0" encoding="utf-8"?>
<ds:datastoreItem xmlns:ds="http://schemas.openxmlformats.org/officeDocument/2006/customXml" ds:itemID="{A56163FD-0669-4BAD-96A2-A7D0170289B1}">
  <ds:schemaRefs/>
</ds:datastoreItem>
</file>

<file path=customXml/itemProps3.xml><?xml version="1.0" encoding="utf-8"?>
<ds:datastoreItem xmlns:ds="http://schemas.openxmlformats.org/officeDocument/2006/customXml" ds:itemID="{E0D62BE4-186F-4356-82BE-FC1B2EF2515F}">
  <ds:schemaRefs/>
</ds:datastoreItem>
</file>

<file path=customXml/itemProps4.xml><?xml version="1.0" encoding="utf-8"?>
<ds:datastoreItem xmlns:ds="http://schemas.openxmlformats.org/officeDocument/2006/customXml" ds:itemID="{F0176D59-5930-4C00-9880-EE62551351B5}">
  <ds:schemaRefs/>
</ds:datastoreItem>
</file>

<file path=customXml/itemProps5.xml><?xml version="1.0" encoding="utf-8"?>
<ds:datastoreItem xmlns:ds="http://schemas.openxmlformats.org/officeDocument/2006/customXml" ds:itemID="{97DEB06C-64B5-4B39-BC14-5B5110736040}">
  <ds:schemaRefs/>
</ds:datastoreItem>
</file>

<file path=customXml/itemProps6.xml><?xml version="1.0" encoding="utf-8"?>
<ds:datastoreItem xmlns:ds="http://schemas.openxmlformats.org/officeDocument/2006/customXml" ds:itemID="{F98B6E1E-94A1-4632-8AE0-5E46450A5609}">
  <ds:schemaRefs/>
</ds:datastoreItem>
</file>

<file path=customXml/itemProps7.xml><?xml version="1.0" encoding="utf-8"?>
<ds:datastoreItem xmlns:ds="http://schemas.openxmlformats.org/officeDocument/2006/customXml" ds:itemID="{4739F60B-F0E2-409B-AF72-E7DE6053D6C2}">
  <ds:schemaRefs/>
</ds:datastoreItem>
</file>

<file path=customXml/itemProps8.xml><?xml version="1.0" encoding="utf-8"?>
<ds:datastoreItem xmlns:ds="http://schemas.openxmlformats.org/officeDocument/2006/customXml" ds:itemID="{13CE2283-D78E-45E3-8037-B40D9330DF81}">
  <ds:schemaRefs/>
</ds:datastoreItem>
</file>

<file path=customXml/itemProps9.xml><?xml version="1.0" encoding="utf-8"?>
<ds:datastoreItem xmlns:ds="http://schemas.openxmlformats.org/officeDocument/2006/customXml" ds:itemID="{36A5DB52-3D6F-4C8A-927E-C5230D887E70}">
  <ds:schemaRefs/>
</ds:datastoreItem>
</file>

<file path=customXml/itemProps10.xml><?xml version="1.0" encoding="utf-8"?>
<ds:datastoreItem xmlns:ds="http://schemas.openxmlformats.org/officeDocument/2006/customXml" ds:itemID="{6020DBA7-E3EA-45D8-ACD4-457258D78DD5}">
  <ds:schemaRefs/>
</ds:datastoreItem>
</file>

<file path=customXml/itemProps11.xml><?xml version="1.0" encoding="utf-8"?>
<ds:datastoreItem xmlns:ds="http://schemas.openxmlformats.org/officeDocument/2006/customXml" ds:itemID="{B545BE0E-EC69-4CC5-AE22-61978199C8F3}">
  <ds:schemaRefs/>
</ds:datastoreItem>
</file>

<file path=customXml/itemProps12.xml><?xml version="1.0" encoding="utf-8"?>
<ds:datastoreItem xmlns:ds="http://schemas.openxmlformats.org/officeDocument/2006/customXml" ds:itemID="{709D88DB-6076-43C1-A6DE-E303251A8333}">
  <ds:schemaRefs/>
</ds:datastoreItem>
</file>

<file path=customXml/itemProps13.xml><?xml version="1.0" encoding="utf-8"?>
<ds:datastoreItem xmlns:ds="http://schemas.openxmlformats.org/officeDocument/2006/customXml" ds:itemID="{754BFCAB-FD46-4078-9BE0-CA6247C9E6EF}">
  <ds:schemaRefs/>
</ds:datastoreItem>
</file>

<file path=customXml/itemProps14.xml><?xml version="1.0" encoding="utf-8"?>
<ds:datastoreItem xmlns:ds="http://schemas.openxmlformats.org/officeDocument/2006/customXml" ds:itemID="{21DC7CA5-E644-47F8-821B-C3FBD11E4FA1}">
  <ds:schemaRefs/>
</ds:datastoreItem>
</file>

<file path=customXml/itemProps15.xml><?xml version="1.0" encoding="utf-8"?>
<ds:datastoreItem xmlns:ds="http://schemas.openxmlformats.org/officeDocument/2006/customXml" ds:itemID="{B0E36F80-1436-4D54-8E1B-63A0C99844BA}">
  <ds:schemaRefs/>
</ds:datastoreItem>
</file>

<file path=customXml/itemProps16.xml><?xml version="1.0" encoding="utf-8"?>
<ds:datastoreItem xmlns:ds="http://schemas.openxmlformats.org/officeDocument/2006/customXml" ds:itemID="{EB875952-0E53-4662-B6E2-E6128AEA72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Revenue and financial </vt:lpstr>
      <vt:lpstr>Dashboard</vt:lpstr>
      <vt:lpstr>Medical analysis </vt:lpstr>
      <vt:lpstr>codeand diagnosis</vt:lpstr>
      <vt:lpstr>performance </vt:lpstr>
      <vt:lpstr>patient analysis</vt:lpstr>
      <vt:lpstr>operation</vt:lpstr>
      <vt:lpstr>payment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2026-03-27T13:54:25Z</dcterms:created>
  <dcterms:modified xsi:type="dcterms:W3CDTF">2026-03-27T20:17:16Z</dcterms:modified>
</cp:coreProperties>
</file>